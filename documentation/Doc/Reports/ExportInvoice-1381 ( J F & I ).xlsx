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9_{39206D6D-B71A-4274-B240-D0CA36D98CB9}" xr6:coauthVersionLast="47" xr6:coauthVersionMax="47" xr10:uidLastSave="{00000000-0000-0000-0000-000000000000}"/>
  <bookViews>
    <workbookView xWindow="-120" yWindow="-120" windowWidth="21840" windowHeight="13140" tabRatio="652" activeTab="4" xr2:uid="{3F71F27F-0E80-411F-84AD-91337CED6041}"/>
  </bookViews>
  <sheets>
    <sheet name="PCK" sheetId="4" r:id="rId1"/>
    <sheet name="INV" sheetId="5" r:id="rId2"/>
    <sheet name="Inv-Back" sheetId="6" r:id="rId3"/>
    <sheet name="VGMC " sheetId="7" r:id="rId4"/>
    <sheet name="CVR" sheetId="8" r:id="rId5"/>
  </sheets>
  <definedNames>
    <definedName name="OLE_LINK1" localSheetId="3">'VGMC '!$C$25</definedName>
    <definedName name="_xlnm.Print_Area" localSheetId="4">CVR!$A$1:$D$48</definedName>
    <definedName name="_xlnm.Print_Area" localSheetId="0">PCK!$A$1:$K$95</definedName>
    <definedName name="_xlnm.Print_Area" localSheetId="3">'VGMC '!$A$1:$C$46</definedName>
  </definedNames>
  <calcPr calcId="191029"/>
</workbook>
</file>

<file path=xl/calcChain.xml><?xml version="1.0" encoding="utf-8"?>
<calcChain xmlns="http://schemas.openxmlformats.org/spreadsheetml/2006/main">
  <c r="I18" i="6" l="1"/>
  <c r="F57" i="5"/>
  <c r="I63" i="5"/>
  <c r="K63" i="5"/>
</calcChain>
</file>

<file path=xl/sharedStrings.xml><?xml version="1.0" encoding="utf-8"?>
<sst xmlns="http://schemas.openxmlformats.org/spreadsheetml/2006/main" count="322" uniqueCount="211">
  <si>
    <t>PACKING LIST</t>
  </si>
  <si>
    <t>Exporter</t>
  </si>
  <si>
    <t xml:space="preserve">   Invoice No.&amp; Date</t>
  </si>
  <si>
    <t>Exporter's Ref.</t>
  </si>
  <si>
    <t>Dated :</t>
  </si>
  <si>
    <t>Buyer's Order No &amp; Date</t>
  </si>
  <si>
    <t>Other Reference(s)</t>
  </si>
  <si>
    <t>Buyer(if other than consignee)</t>
  </si>
  <si>
    <t>Consignee</t>
  </si>
  <si>
    <t>Country of Origin of Goods</t>
  </si>
  <si>
    <t>Country of Final Destination</t>
  </si>
  <si>
    <t>INDIA</t>
  </si>
  <si>
    <t>Terms of Delivery &amp; Payment.</t>
  </si>
  <si>
    <t>Pre-Carriage by</t>
  </si>
  <si>
    <t>Place of Receipt by Pre-carrier</t>
  </si>
  <si>
    <t>Vessel Flight No.</t>
  </si>
  <si>
    <t>Port of Loading</t>
  </si>
  <si>
    <t>Port of Discharge</t>
  </si>
  <si>
    <t>Final Destination</t>
  </si>
  <si>
    <t xml:space="preserve">Marks &amp; Nos./      </t>
  </si>
  <si>
    <t xml:space="preserve"> Container No.</t>
  </si>
  <si>
    <t>No. &amp; Kind of pkg.</t>
  </si>
  <si>
    <t>Description of Goods</t>
  </si>
  <si>
    <t>Gross Wt.</t>
  </si>
  <si>
    <t>Tare Wt.</t>
  </si>
  <si>
    <t>Net Wt.</t>
  </si>
  <si>
    <t>(Kgs.)</t>
  </si>
  <si>
    <t>TOTAL</t>
  </si>
  <si>
    <t xml:space="preserve">We declare that this packing list shows the actual weight of goods </t>
  </si>
  <si>
    <t>described and that all particulars are true and correct.</t>
  </si>
  <si>
    <t>INVOICE</t>
  </si>
  <si>
    <t>Marks &amp; Nos./</t>
  </si>
  <si>
    <t>No. &amp; Kind of</t>
  </si>
  <si>
    <t>Quantity</t>
  </si>
  <si>
    <t>Rate</t>
  </si>
  <si>
    <t>Amount</t>
  </si>
  <si>
    <t>NETT.</t>
  </si>
  <si>
    <t>Per M.T</t>
  </si>
  <si>
    <t>US DOLLARS</t>
  </si>
  <si>
    <t>M.T</t>
  </si>
  <si>
    <t>US $</t>
  </si>
  <si>
    <t>TOTAL NO. OF PACKAGES</t>
  </si>
  <si>
    <t>:</t>
  </si>
  <si>
    <t>TOTAL GROSS WEIGHT</t>
  </si>
  <si>
    <t>MT</t>
  </si>
  <si>
    <t>TOTAL TARE WEIGHT</t>
  </si>
  <si>
    <t>TOTAL NET WEIGHT</t>
  </si>
  <si>
    <t>Amount Chargeable</t>
  </si>
  <si>
    <t>INR VALUE :</t>
  </si>
  <si>
    <t>Declaration:</t>
  </si>
  <si>
    <t>We declare that this invoice shows the actual price of the goods</t>
  </si>
  <si>
    <t>Name of Exporter :</t>
  </si>
  <si>
    <t>IEC No.:</t>
  </si>
  <si>
    <t>Factory Address</t>
  </si>
  <si>
    <t>Name of Commissionerate/Division/Range</t>
  </si>
  <si>
    <t>Location Code</t>
  </si>
  <si>
    <t>Name &amp; Address of Consignee abroad</t>
  </si>
  <si>
    <t xml:space="preserve">Is the description of the goods, the quantity and their </t>
  </si>
  <si>
    <t>Whether sample is drawn for being forwarded to Port of export ?</t>
  </si>
  <si>
    <t>If yes, the number of the seal of the package containing the sample :</t>
  </si>
  <si>
    <t>Container No :</t>
  </si>
  <si>
    <t>Size</t>
  </si>
  <si>
    <t xml:space="preserve"> </t>
  </si>
  <si>
    <t>Signature &amp; Date</t>
  </si>
  <si>
    <t>(In words) :</t>
  </si>
  <si>
    <t>EXAMINATION REPORT FOR FACTORY SEALED PACKAGES/CONTAINERS</t>
  </si>
  <si>
    <t xml:space="preserve">    1</t>
  </si>
  <si>
    <t xml:space="preserve">    2 (a)</t>
  </si>
  <si>
    <t xml:space="preserve">       (b)</t>
  </si>
  <si>
    <t>GSTIN NO.</t>
  </si>
  <si>
    <t xml:space="preserve">       (c)</t>
  </si>
  <si>
    <t>BIN (PAN based Business Identification No.</t>
  </si>
  <si>
    <t xml:space="preserve">of the exporter) </t>
  </si>
  <si>
    <t>LUT NO. &amp; Date</t>
  </si>
  <si>
    <t>Date of Self Sealing and Self Certification</t>
  </si>
  <si>
    <t xml:space="preserve">    6 (a)</t>
  </si>
  <si>
    <t>Particulars of Export Invoice Cum Packing List No.</t>
  </si>
  <si>
    <t>Tax Invoice No. &amp; Date</t>
  </si>
  <si>
    <t>Total No. of Packages</t>
  </si>
  <si>
    <t xml:space="preserve">       (d)</t>
  </si>
  <si>
    <t>Real/Net Weight :</t>
  </si>
  <si>
    <t xml:space="preserve">     7 (a)</t>
  </si>
  <si>
    <t xml:space="preserve">      (c)</t>
  </si>
  <si>
    <t xml:space="preserve">   8 (a)</t>
  </si>
  <si>
    <t>value as per particulars furnished in the export invoice ?</t>
  </si>
  <si>
    <t xml:space="preserve">    9  (a)</t>
  </si>
  <si>
    <t>RFID E-Seal NO.</t>
  </si>
  <si>
    <t>Shipping Line Seal NO.</t>
  </si>
  <si>
    <t>TWO  SAMPLES</t>
  </si>
  <si>
    <t xml:space="preserve">                   INFORMATION ABOUT VERIFIED GROSS MASS OF CONTAINER</t>
  </si>
  <si>
    <t>Sr.No.</t>
  </si>
  <si>
    <t>Details of Information</t>
  </si>
  <si>
    <t>Particulars</t>
  </si>
  <si>
    <t>Name of the Shipper</t>
  </si>
  <si>
    <t>Shipper Registration/Licence No.(IEC No.)</t>
  </si>
  <si>
    <t>Name and designation of official of the Shipper 
authorised to sign document</t>
  </si>
  <si>
    <t>24 x 7 contact details of authorised official of Shipper</t>
  </si>
  <si>
    <t>Container No.</t>
  </si>
  <si>
    <t>Container Size (TEU/FEU/Other)</t>
  </si>
  <si>
    <t>Maximum permissible weight of container as per the CSC plate</t>
  </si>
  <si>
    <t xml:space="preserve">Verified gross mass of container (method-1) Gross </t>
  </si>
  <si>
    <t>Date and time of weighing</t>
  </si>
  <si>
    <t>Weighing slip no.</t>
  </si>
  <si>
    <t>Weighbridge registration no. &amp; Address of Weighbridge</t>
  </si>
  <si>
    <t>Type (Normal/Refer/Hazardous/others)</t>
  </si>
  <si>
    <t>GENERAL CARGO</t>
  </si>
  <si>
    <t>If hazardous, UN No.IMDG class</t>
  </si>
  <si>
    <t>Nil</t>
  </si>
  <si>
    <t>EXPORT VALUE DECLARATION</t>
  </si>
  <si>
    <r>
      <t>[ See Rule 7 of Customs Valuation (Determination of value of Export Goods) Rules, 2007 ]</t>
    </r>
    <r>
      <rPr>
        <sz val="11"/>
        <rFont val="Calibri"/>
        <family val="2"/>
      </rPr>
      <t>­</t>
    </r>
  </si>
  <si>
    <t xml:space="preserve">Shipping Bill No. &amp; Date </t>
  </si>
  <si>
    <t>Invoice No. &amp; Date</t>
  </si>
  <si>
    <t>Nature of Transaction</t>
  </si>
  <si>
    <t xml:space="preserve">Method of Valuation
(See Export Valuation Rules) </t>
  </si>
  <si>
    <t>Whether Seller and Buyer are related</t>
  </si>
  <si>
    <t>If yes, whether relationship has influenced the price</t>
  </si>
  <si>
    <t xml:space="preserve">Terms of Payment </t>
  </si>
  <si>
    <t>Terms of Delivery</t>
  </si>
  <si>
    <t>Previous exports of identical/similar goods, if any 
Shipping Bill No. &amp; Date</t>
  </si>
  <si>
    <t>Any other relevant information (attach separate sheet, 
if necessary)</t>
  </si>
  <si>
    <t>DECLARATION</t>
  </si>
  <si>
    <t>1. I/We hereby declare that information furnished above is true complete and correct in every respect.</t>
  </si>
  <si>
    <t>Place :</t>
  </si>
  <si>
    <t>Date :</t>
  </si>
  <si>
    <t xml:space="preserve">                 ____________________________</t>
  </si>
  <si>
    <t xml:space="preserve">                              Signature of the Exporter</t>
  </si>
  <si>
    <t>2. I/We also undertake to bring to the notice of proper office any particulars which subsequently come to my/our     knowledge which will have bearing on a verification.</t>
  </si>
  <si>
    <t>Stuffing permission No.1094/2010-11 dtd.17.02.11 issued from F.No.S/6-GEN-1147/10-11 EXP FSP Date : 17.02.2011 given by office of the Customs (Export) JNCH,NHAVA SHEVA,Tal.Uran Dist- Raigad.Maharastra - 400707.</t>
  </si>
  <si>
    <t>{ ONE TIME PERMISSION}</t>
  </si>
  <si>
    <t>Container has been packed and sealed with RFID e-seal mentioned above under my supervision.</t>
  </si>
  <si>
    <t>No.</t>
  </si>
  <si>
    <t xml:space="preserve"> No.</t>
  </si>
  <si>
    <t>GR. TOTAL</t>
  </si>
  <si>
    <t>Annexure - I</t>
  </si>
  <si>
    <t>Certified that the description quntity No. of Packages and Value of the goods coverd by this inovice have been checked by me and the goods</t>
  </si>
  <si>
    <r>
      <t xml:space="preserve">Yes / </t>
    </r>
    <r>
      <rPr>
        <b/>
        <strike/>
        <sz val="11"/>
        <rFont val="Calibri"/>
        <family val="2"/>
      </rPr>
      <t>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</si>
  <si>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3 </t>
    </r>
    <r>
      <rPr>
        <sz val="11"/>
        <color indexed="8"/>
        <rFont val="Calibri"/>
        <family val="2"/>
      </rPr>
      <t>( √  )</t>
    </r>
    <r>
      <rPr>
        <sz val="11"/>
        <color theme="1"/>
        <rFont val="Calibri"/>
        <family val="2"/>
        <scheme val="minor"/>
      </rPr>
      <t xml:space="preserve"> Rule 4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5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Rule 6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</si>
  <si>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</rPr>
      <t>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</si>
  <si>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Yes   </t>
    </r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</si>
  <si>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11"/>
        <color indexed="8"/>
        <rFont val="Calibri"/>
        <family val="2"/>
      </rPr>
      <t>( √ )</t>
    </r>
    <r>
      <rPr>
        <sz val="11"/>
        <color theme="1"/>
        <rFont val="Calibri"/>
        <family val="2"/>
        <scheme val="minor"/>
      </rPr>
      <t xml:space="preserve"> Sale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Sale of Consignment Basis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Gift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Sample            </t>
    </r>
    <r>
      <rPr>
        <sz val="11"/>
        <color indexed="8"/>
        <rFont val="Calibri"/>
        <family val="2"/>
      </rPr>
      <t>(   )</t>
    </r>
    <r>
      <rPr>
        <sz val="11"/>
        <color theme="1"/>
        <rFont val="Calibri"/>
        <family val="2"/>
        <scheme val="minor"/>
      </rPr>
      <t xml:space="preserve"> Other</t>
    </r>
  </si>
  <si>
    <t>GAYATRISHAKTI PAPER &amp; BOARDS LTD.</t>
  </si>
  <si>
    <t>RAHEJA PLAZA, 412, 4TH FLOOR ,</t>
  </si>
  <si>
    <t>PLOT NO.15 / B, SHAH INDUSTRIAL ESTATE,</t>
  </si>
  <si>
    <t>NEXT TO AFCONS, OFF LINK ROAD</t>
  </si>
  <si>
    <t>ANDHERI ( W )  MUMBAI- 53</t>
  </si>
  <si>
    <t>FACTORY ADDRESS :PLOT No.799/1,800/1,,3rd PHASE,GIDC,</t>
  </si>
  <si>
    <t>VAPI,-396195</t>
  </si>
  <si>
    <t xml:space="preserve">24AABCG0273F1Z4     </t>
  </si>
  <si>
    <t>GSP1-E/25/001381</t>
  </si>
  <si>
    <t xml:space="preserve">                                                  </t>
  </si>
  <si>
    <t>TO THE ORDER</t>
  </si>
  <si>
    <t>COLOMBO,_x000D_
SRI LANKA</t>
  </si>
  <si>
    <t xml:space="preserve">J F &amp; I PACKAGING (PVT) LTD. </t>
  </si>
  <si>
    <t>No.321, KADUWELA ROAD,_x000D_
KOSWATTA, THALANGAMA,_x000D_
SRI LANKA</t>
  </si>
  <si>
    <t>N.A.</t>
  </si>
  <si>
    <t xml:space="preserve"> SRI LANKA</t>
  </si>
  <si>
    <t>-</t>
  </si>
  <si>
    <t>INSAJ6 - ICD TUMB, UMBERGAON</t>
  </si>
  <si>
    <t>COLOMBO,SRI LANKA</t>
  </si>
  <si>
    <t>COLOMBO ,SRI LANKA</t>
  </si>
  <si>
    <t>SRI LANKA</t>
  </si>
  <si>
    <t>TRHU 5134589</t>
  </si>
  <si>
    <t>PALLET</t>
  </si>
  <si>
    <t>No of Ream/Sheet</t>
  </si>
  <si>
    <t>COATED PAPER BOARD DUPLEX (MULTIPLY)-GREY BACK</t>
  </si>
  <si>
    <t xml:space="preserve"> H . S . 48109200</t>
  </si>
  <si>
    <t>C. I. F.</t>
  </si>
  <si>
    <t>SUPPLY MEANT FOR EXPORT UNDER  LETTER OF UNDERTAKING _x000D_
WITHOUT PAYMENT OF INTEGRATED TAX</t>
  </si>
  <si>
    <t>For GAYATRISHAKTI PAPER &amp; BOARDS LTD.</t>
  </si>
  <si>
    <t>LUT ARN No.: AD240325069102H DATED 26.03.2025</t>
  </si>
  <si>
    <t>Size : 54 CM X 85.00 CM -  GSM : 300</t>
  </si>
  <si>
    <t>Total</t>
  </si>
  <si>
    <t>Size : 61 CM X 89.50 CM -  GSM : 300</t>
  </si>
  <si>
    <t xml:space="preserve">GST NO. : 24AABCG0273F1Z4     </t>
  </si>
  <si>
    <t>Container No. : TRHU 5134589</t>
  </si>
  <si>
    <t>Shipping Line Seal No. : IN 1968737        RFID E-SEAL No. : ITEK03945202</t>
  </si>
  <si>
    <t>GSM : 300,</t>
  </si>
  <si>
    <t>EXPORT UNDER DUTY FREE DRAWBACK SCHEME. DRWBACK SR.NO.4810</t>
  </si>
  <si>
    <t>WE INTEND TO CLAIM REWARDS UNDER THE ``REMISSION OF DUTIES AND TAXES ON EXPORTED PRODUCTS(RoDTEP)`` SCHEME</t>
  </si>
  <si>
    <t>EPCG Licence No.0330052641 Dated : 28.07.2020</t>
  </si>
  <si>
    <t>Size : 54 CM X 85.00 CM - GSM : 300</t>
  </si>
  <si>
    <t>30 PALLET</t>
  </si>
  <si>
    <t>Size : 61 CM X 89.50 CM - GSM : 300</t>
  </si>
  <si>
    <t>40 PALLET</t>
  </si>
  <si>
    <t>-----------</t>
  </si>
  <si>
    <t>70 PALLET</t>
  </si>
  <si>
    <t xml:space="preserve">US DOLLAR Twelve Thousand Three Hundred Six and CENT Seventy Two only </t>
  </si>
  <si>
    <t>Removal of export Containers under self-sealing by RFID Electronic Seal vide Circular No.26/2017</t>
  </si>
  <si>
    <t>Cus.Dated 01.07.2017, 36/2017-Cus. Dated 28.08.2017,37/2017-Cus, Dated 20.09.2017, 41/2017-Cus, Dated .30.10.2017</t>
  </si>
  <si>
    <t>44/2017-Cus. Dated 18.11.2017 and JNPT Permission F.NO. S/6-Gen-Self Sealing-3048/2023-24 - EXP-FSP/2794</t>
  </si>
  <si>
    <t>Date 26.12.2023 Valid up to 31.12.2028</t>
  </si>
  <si>
    <t>5297003245</t>
  </si>
  <si>
    <t>AABCG0273F</t>
  </si>
  <si>
    <t>FACTORY ADDRESS :PLOT No.799/1,800/1, , 3rd PHASE,GIDC,</t>
  </si>
  <si>
    <t>VAPI , -396195</t>
  </si>
  <si>
    <t>25.639 MT</t>
  </si>
  <si>
    <t>SURAT / DIV.- IX (VAPI-I) / RANGE-VAPI-I</t>
  </si>
  <si>
    <t>VC0901</t>
  </si>
  <si>
    <t>ITEK03945202</t>
  </si>
  <si>
    <t>40</t>
  </si>
  <si>
    <t>IN 1968737</t>
  </si>
  <si>
    <t>VIRAL H PATEL - TAX ASST.</t>
  </si>
  <si>
    <t>9099020495</t>
  </si>
  <si>
    <t>32500</t>
  </si>
  <si>
    <t>CARGO Wt. 27272 Kgs.  + 3700 Kgs. (Empty Container)</t>
  </si>
  <si>
    <t>30972KGS</t>
  </si>
  <si>
    <t>GAYATRISHAKTI PAPER &amp; BOARDS LTD. REG. No. 2560331/VAL/2023/01,ADDRESS : PLOT NO.799/1,800/1,3rd Phase,G.I.D.C.-VAPI-396 195</t>
  </si>
  <si>
    <t>GSP1-E/25/001381 DT.20-Jan-2026</t>
  </si>
  <si>
    <t>Shipping Bill No. 8785438 Dt. 15.01.2026</t>
  </si>
  <si>
    <t>VAPI</t>
  </si>
  <si>
    <t>LC at 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</si>
</sst>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(* #,##0.00_);_(* \(#,##0.00\);_(* &quot;-&quot;??_);_(@_)"/>
    <numFmt numFmtId="178" formatCode="0.0"/>
    <numFmt numFmtId="179" formatCode="0.000"/>
    <numFmt numFmtId="181" formatCode="_(* #,##0.0_);_(* \(#,##0.0\);_(* &quot;-&quot;??_);_(@_)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sz val="12"/>
      <name val="Arial"/>
      <family val="2"/>
    </font>
    <font>
      <sz val="10"/>
      <name val="Times New Roman"/>
      <family val="1"/>
    </font>
    <font>
      <sz val="15"/>
      <name val="Stencil"/>
      <family val="5"/>
    </font>
    <font>
      <b/>
      <sz val="15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trike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71" fontId="15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69">
    <xf numFmtId="0" fontId="0" fillId="0" borderId="0" xfId="0"/>
    <xf numFmtId="0" fontId="17" fillId="0" borderId="0" xfId="8" applyFont="1"/>
    <xf numFmtId="178" fontId="18" fillId="0" borderId="0" xfId="8" applyNumberFormat="1" applyFont="1" applyBorder="1" applyAlignment="1">
      <alignment horizontal="center"/>
    </xf>
    <xf numFmtId="0" fontId="17" fillId="0" borderId="1" xfId="8" applyFont="1" applyBorder="1"/>
    <xf numFmtId="0" fontId="17" fillId="0" borderId="0" xfId="8" applyFont="1" applyBorder="1"/>
    <xf numFmtId="0" fontId="17" fillId="0" borderId="2" xfId="8" applyFont="1" applyBorder="1"/>
    <xf numFmtId="0" fontId="17" fillId="0" borderId="3" xfId="8" applyFont="1" applyBorder="1"/>
    <xf numFmtId="0" fontId="17" fillId="0" borderId="4" xfId="8" applyFont="1" applyBorder="1"/>
    <xf numFmtId="0" fontId="17" fillId="0" borderId="5" xfId="8" applyFont="1" applyBorder="1"/>
    <xf numFmtId="0" fontId="17" fillId="0" borderId="3" xfId="8" applyFont="1" applyBorder="1" applyAlignment="1">
      <alignment horizontal="left"/>
    </xf>
    <xf numFmtId="1" fontId="18" fillId="0" borderId="0" xfId="8" applyNumberFormat="1" applyFont="1" applyBorder="1" applyAlignment="1">
      <alignment horizontal="center"/>
    </xf>
    <xf numFmtId="0" fontId="19" fillId="0" borderId="0" xfId="8" applyFont="1" applyBorder="1"/>
    <xf numFmtId="0" fontId="18" fillId="0" borderId="0" xfId="8" applyFont="1" applyBorder="1"/>
    <xf numFmtId="0" fontId="18" fillId="0" borderId="0" xfId="8" applyFont="1" applyFill="1" applyBorder="1" applyAlignment="1">
      <alignment horizontal="center"/>
    </xf>
    <xf numFmtId="1" fontId="17" fillId="0" borderId="0" xfId="8" applyNumberFormat="1" applyFont="1"/>
    <xf numFmtId="0" fontId="17" fillId="0" borderId="6" xfId="8" applyFont="1" applyBorder="1" applyAlignment="1">
      <alignment horizontal="center"/>
    </xf>
    <xf numFmtId="171" fontId="17" fillId="0" borderId="0" xfId="2" applyFont="1" applyBorder="1"/>
    <xf numFmtId="1" fontId="17" fillId="0" borderId="2" xfId="8" applyNumberFormat="1" applyFont="1" applyBorder="1" applyAlignment="1">
      <alignment horizontal="center"/>
    </xf>
    <xf numFmtId="0" fontId="19" fillId="0" borderId="7" xfId="8" applyFont="1" applyBorder="1"/>
    <xf numFmtId="0" fontId="17" fillId="0" borderId="8" xfId="8" applyFont="1" applyBorder="1"/>
    <xf numFmtId="0" fontId="20" fillId="0" borderId="9" xfId="8" applyFont="1" applyBorder="1"/>
    <xf numFmtId="0" fontId="0" fillId="0" borderId="0" xfId="0" applyAlignment="1"/>
    <xf numFmtId="0" fontId="0" fillId="0" borderId="0" xfId="0" applyFont="1"/>
    <xf numFmtId="0" fontId="15" fillId="0" borderId="10" xfId="9" quotePrefix="1" applyFont="1" applyBorder="1" applyAlignment="1">
      <alignment horizontal="left"/>
    </xf>
    <xf numFmtId="0" fontId="20" fillId="0" borderId="7" xfId="9" applyFont="1" applyBorder="1" applyAlignment="1"/>
    <xf numFmtId="0" fontId="20" fillId="0" borderId="11" xfId="9" applyFont="1" applyBorder="1" applyAlignment="1"/>
    <xf numFmtId="0" fontId="17" fillId="0" borderId="12" xfId="9" applyFont="1" applyBorder="1" applyAlignment="1">
      <alignment vertical="center"/>
    </xf>
    <xf numFmtId="0" fontId="17" fillId="0" borderId="7" xfId="9" applyFont="1" applyBorder="1" applyAlignment="1">
      <alignment vertical="center"/>
    </xf>
    <xf numFmtId="0" fontId="17" fillId="0" borderId="11" xfId="9" applyFont="1" applyBorder="1" applyAlignment="1">
      <alignment vertical="center"/>
    </xf>
    <xf numFmtId="0" fontId="17" fillId="0" borderId="13" xfId="9" applyFont="1" applyBorder="1" applyAlignment="1">
      <alignment vertical="center"/>
    </xf>
    <xf numFmtId="0" fontId="17" fillId="0" borderId="0" xfId="9" applyFont="1" applyBorder="1" applyAlignment="1">
      <alignment vertical="center"/>
    </xf>
    <xf numFmtId="0" fontId="17" fillId="0" borderId="14" xfId="9" applyFont="1" applyBorder="1" applyAlignment="1">
      <alignment vertical="center"/>
    </xf>
    <xf numFmtId="0" fontId="17" fillId="0" borderId="15" xfId="9" applyFont="1" applyBorder="1" applyAlignment="1">
      <alignment vertical="center"/>
    </xf>
    <xf numFmtId="0" fontId="17" fillId="0" borderId="16" xfId="9" applyFont="1" applyBorder="1" applyAlignment="1">
      <alignment vertical="center"/>
    </xf>
    <xf numFmtId="0" fontId="17" fillId="0" borderId="17" xfId="9" applyFont="1" applyBorder="1" applyAlignment="1">
      <alignment vertical="center"/>
    </xf>
    <xf numFmtId="0" fontId="5" fillId="0" borderId="0" xfId="0" applyFont="1" applyAlignment="1"/>
    <xf numFmtId="0" fontId="0" fillId="0" borderId="5" xfId="0" applyBorder="1"/>
    <xf numFmtId="0" fontId="7" fillId="0" borderId="0" xfId="0" applyFont="1"/>
    <xf numFmtId="0" fontId="10" fillId="0" borderId="18" xfId="0" applyFont="1" applyBorder="1" applyAlignment="1">
      <alignment horizontal="center"/>
    </xf>
    <xf numFmtId="0" fontId="0" fillId="0" borderId="0" xfId="0" applyBorder="1"/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0" xfId="0" applyFont="1" applyAlignment="1">
      <alignment horizontal="justify" vertical="center"/>
    </xf>
    <xf numFmtId="14" fontId="3" fillId="0" borderId="0" xfId="0" applyNumberFormat="1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0" fillId="0" borderId="21" xfId="0" applyBorder="1" applyAlignment="1">
      <alignment horizontal="justify" vertical="center"/>
    </xf>
    <xf numFmtId="2" fontId="17" fillId="0" borderId="0" xfId="8" applyNumberFormat="1" applyFont="1"/>
    <xf numFmtId="2" fontId="17" fillId="0" borderId="6" xfId="8" applyNumberFormat="1" applyFont="1" applyBorder="1"/>
    <xf numFmtId="2" fontId="17" fillId="0" borderId="5" xfId="8" applyNumberFormat="1" applyFont="1" applyBorder="1"/>
    <xf numFmtId="2" fontId="17" fillId="0" borderId="25" xfId="8" applyNumberFormat="1" applyFont="1" applyBorder="1" applyAlignment="1">
      <alignment horizontal="center"/>
    </xf>
    <xf numFmtId="2" fontId="17" fillId="0" borderId="26" xfId="8" applyNumberFormat="1" applyFont="1" applyBorder="1" applyAlignment="1">
      <alignment horizontal="center"/>
    </xf>
    <xf numFmtId="2" fontId="17" fillId="0" borderId="0" xfId="8" applyNumberFormat="1" applyFont="1" applyBorder="1" applyAlignment="1">
      <alignment horizontal="center"/>
    </xf>
    <xf numFmtId="2" fontId="17" fillId="0" borderId="0" xfId="8" applyNumberFormat="1" applyFont="1" applyAlignment="1">
      <alignment horizontal="center"/>
    </xf>
    <xf numFmtId="2" fontId="18" fillId="0" borderId="0" xfId="8" applyNumberFormat="1" applyFont="1" applyAlignment="1">
      <alignment horizontal="center"/>
    </xf>
    <xf numFmtId="0" fontId="18" fillId="0" borderId="5" xfId="8" applyFont="1" applyBorder="1" applyAlignment="1">
      <alignment vertical="top"/>
    </xf>
    <xf numFmtId="0" fontId="18" fillId="0" borderId="1" xfId="8" applyFont="1" applyBorder="1" applyAlignment="1">
      <alignment vertical="top"/>
    </xf>
    <xf numFmtId="179" fontId="17" fillId="0" borderId="27" xfId="8" applyNumberFormat="1" applyFont="1" applyBorder="1" applyAlignment="1">
      <alignment horizontal="center"/>
    </xf>
    <xf numFmtId="179" fontId="17" fillId="0" borderId="27" xfId="8" applyNumberFormat="1" applyFont="1" applyBorder="1"/>
    <xf numFmtId="179" fontId="18" fillId="0" borderId="27" xfId="8" applyNumberFormat="1" applyFont="1" applyBorder="1" applyAlignment="1">
      <alignment horizontal="center"/>
    </xf>
    <xf numFmtId="0" fontId="20" fillId="0" borderId="12" xfId="10" applyFont="1" applyBorder="1" applyAlignment="1"/>
    <xf numFmtId="2" fontId="17" fillId="0" borderId="27" xfId="8" applyNumberFormat="1" applyFont="1" applyBorder="1" applyAlignment="1">
      <alignment horizontal="center" vertical="top"/>
    </xf>
    <xf numFmtId="0" fontId="17" fillId="0" borderId="2" xfId="8" applyFont="1" applyBorder="1" applyAlignment="1">
      <alignment horizontal="center" vertical="top"/>
    </xf>
    <xf numFmtId="178" fontId="17" fillId="0" borderId="0" xfId="8" applyNumberFormat="1" applyFont="1" applyBorder="1"/>
    <xf numFmtId="0" fontId="17" fillId="0" borderId="28" xfId="8" applyFont="1" applyBorder="1"/>
    <xf numFmtId="0" fontId="17" fillId="0" borderId="29" xfId="8" applyFont="1" applyBorder="1"/>
    <xf numFmtId="0" fontId="17" fillId="0" borderId="30" xfId="8" applyFont="1" applyBorder="1" applyAlignment="1">
      <alignment horizontal="center"/>
    </xf>
    <xf numFmtId="0" fontId="17" fillId="0" borderId="13" xfId="8" applyFont="1" applyBorder="1"/>
    <xf numFmtId="0" fontId="17" fillId="0" borderId="12" xfId="8" applyFont="1" applyBorder="1"/>
    <xf numFmtId="0" fontId="17" fillId="0" borderId="31" xfId="8" applyFont="1" applyBorder="1"/>
    <xf numFmtId="0" fontId="17" fillId="0" borderId="14" xfId="8" applyFont="1" applyBorder="1"/>
    <xf numFmtId="0" fontId="17" fillId="0" borderId="11" xfId="8" applyFont="1" applyBorder="1"/>
    <xf numFmtId="0" fontId="18" fillId="0" borderId="19" xfId="8" applyFont="1" applyBorder="1" applyAlignment="1">
      <alignment vertical="top"/>
    </xf>
    <xf numFmtId="0" fontId="17" fillId="0" borderId="19" xfId="8" applyFont="1" applyBorder="1" applyAlignment="1">
      <alignment horizontal="center"/>
    </xf>
    <xf numFmtId="0" fontId="17" fillId="0" borderId="31" xfId="8" applyFont="1" applyBorder="1" applyAlignment="1"/>
    <xf numFmtId="0" fontId="17" fillId="0" borderId="14" xfId="8" applyFont="1" applyBorder="1" applyAlignment="1"/>
    <xf numFmtId="0" fontId="17" fillId="0" borderId="14" xfId="8" applyFont="1" applyBorder="1" applyAlignment="1">
      <alignment horizontal="left"/>
    </xf>
    <xf numFmtId="0" fontId="17" fillId="2" borderId="32" xfId="8" applyFont="1" applyFill="1" applyBorder="1" applyAlignment="1">
      <alignment horizontal="center"/>
    </xf>
    <xf numFmtId="0" fontId="17" fillId="2" borderId="33" xfId="8" applyFont="1" applyFill="1" applyBorder="1" applyAlignment="1">
      <alignment horizontal="center"/>
    </xf>
    <xf numFmtId="0" fontId="17" fillId="0" borderId="32" xfId="8" applyFont="1" applyBorder="1" applyAlignment="1">
      <alignment horizontal="center"/>
    </xf>
    <xf numFmtId="0" fontId="17" fillId="0" borderId="33" xfId="8" applyFont="1" applyBorder="1" applyAlignment="1">
      <alignment horizontal="center"/>
    </xf>
    <xf numFmtId="0" fontId="18" fillId="2" borderId="32" xfId="8" applyFont="1" applyFill="1" applyBorder="1" applyAlignment="1">
      <alignment horizontal="center"/>
    </xf>
    <xf numFmtId="0" fontId="18" fillId="2" borderId="8" xfId="8" applyFont="1" applyFill="1" applyBorder="1" applyAlignment="1">
      <alignment horizontal="center"/>
    </xf>
    <xf numFmtId="178" fontId="18" fillId="2" borderId="8" xfId="8" applyNumberFormat="1" applyFont="1" applyFill="1" applyBorder="1" applyAlignment="1">
      <alignment horizontal="center"/>
    </xf>
    <xf numFmtId="0" fontId="18" fillId="0" borderId="12" xfId="8" applyFont="1" applyBorder="1"/>
    <xf numFmtId="0" fontId="18" fillId="0" borderId="9" xfId="8" applyFont="1" applyBorder="1"/>
    <xf numFmtId="0" fontId="18" fillId="0" borderId="7" xfId="2" applyNumberFormat="1" applyFont="1" applyBorder="1" applyAlignment="1">
      <alignment horizontal="center" vertical="center"/>
    </xf>
    <xf numFmtId="1" fontId="17" fillId="0" borderId="33" xfId="8" applyNumberFormat="1" applyFont="1" applyBorder="1" applyAlignment="1">
      <alignment horizontal="center"/>
    </xf>
    <xf numFmtId="1" fontId="17" fillId="0" borderId="34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 wrapText="1"/>
    </xf>
    <xf numFmtId="181" fontId="17" fillId="2" borderId="8" xfId="8" applyNumberFormat="1" applyFont="1" applyFill="1" applyBorder="1" applyAlignment="1">
      <alignment horizontal="center"/>
    </xf>
    <xf numFmtId="181" fontId="17" fillId="0" borderId="25" xfId="8" applyNumberFormat="1" applyFont="1" applyBorder="1" applyAlignment="1">
      <alignment horizontal="center"/>
    </xf>
    <xf numFmtId="181" fontId="17" fillId="0" borderId="8" xfId="8" applyNumberFormat="1" applyFont="1" applyBorder="1" applyAlignment="1">
      <alignment horizontal="center"/>
    </xf>
    <xf numFmtId="181" fontId="17" fillId="0" borderId="0" xfId="8" applyNumberFormat="1" applyFont="1" applyBorder="1" applyAlignment="1">
      <alignment horizontal="center"/>
    </xf>
    <xf numFmtId="181" fontId="17" fillId="0" borderId="27" xfId="8" applyNumberFormat="1" applyFont="1" applyBorder="1" applyAlignment="1">
      <alignment horizontal="center"/>
    </xf>
    <xf numFmtId="181" fontId="17" fillId="0" borderId="27" xfId="8" applyNumberFormat="1" applyFont="1" applyFill="1" applyBorder="1" applyAlignment="1">
      <alignment horizontal="center" wrapText="1"/>
    </xf>
    <xf numFmtId="181" fontId="17" fillId="0" borderId="27" xfId="8" applyNumberFormat="1" applyFont="1" applyFill="1" applyBorder="1" applyAlignment="1">
      <alignment horizontal="center"/>
    </xf>
    <xf numFmtId="0" fontId="17" fillId="2" borderId="8" xfId="8" applyNumberFormat="1" applyFont="1" applyFill="1" applyBorder="1" applyAlignment="1">
      <alignment horizontal="center"/>
    </xf>
    <xf numFmtId="0" fontId="17" fillId="0" borderId="8" xfId="8" applyNumberFormat="1" applyFont="1" applyBorder="1" applyAlignment="1">
      <alignment horizontal="center"/>
    </xf>
    <xf numFmtId="0" fontId="18" fillId="2" borderId="8" xfId="8" applyNumberFormat="1" applyFont="1" applyFill="1" applyBorder="1" applyAlignment="1">
      <alignment horizontal="center"/>
    </xf>
    <xf numFmtId="0" fontId="17" fillId="0" borderId="6" xfId="8" applyNumberFormat="1" applyFont="1" applyBorder="1" applyAlignment="1">
      <alignment horizontal="center"/>
    </xf>
    <xf numFmtId="0" fontId="17" fillId="0" borderId="35" xfId="8" applyNumberFormat="1" applyFont="1" applyBorder="1" applyAlignment="1">
      <alignment horizontal="center"/>
    </xf>
    <xf numFmtId="0" fontId="17" fillId="0" borderId="35" xfId="8" applyNumberFormat="1" applyFont="1" applyFill="1" applyBorder="1" applyAlignment="1">
      <alignment horizont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11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top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8" fillId="0" borderId="0" xfId="8" applyFont="1" applyBorder="1" applyAlignment="1"/>
    <xf numFmtId="0" fontId="17" fillId="0" borderId="9" xfId="8" applyFont="1" applyBorder="1"/>
    <xf numFmtId="0" fontId="17" fillId="0" borderId="7" xfId="8" applyFont="1" applyBorder="1"/>
    <xf numFmtId="0" fontId="17" fillId="0" borderId="6" xfId="8" applyFont="1" applyBorder="1"/>
    <xf numFmtId="0" fontId="17" fillId="0" borderId="5" xfId="8" applyFont="1" applyBorder="1" applyAlignment="1">
      <alignment horizontal="right"/>
    </xf>
    <xf numFmtId="0" fontId="17" fillId="0" borderId="0" xfId="8" applyFont="1" applyBorder="1"/>
    <xf numFmtId="0" fontId="17" fillId="0" borderId="0" xfId="8" applyFont="1" applyBorder="1" applyAlignment="1"/>
    <xf numFmtId="2" fontId="17" fillId="0" borderId="7" xfId="8" applyNumberFormat="1" applyFont="1" applyBorder="1"/>
    <xf numFmtId="2" fontId="17" fillId="0" borderId="0" xfId="8" applyNumberFormat="1" applyFont="1" applyBorder="1"/>
    <xf numFmtId="2" fontId="17" fillId="0" borderId="2" xfId="8" applyNumberFormat="1" applyFont="1" applyBorder="1"/>
    <xf numFmtId="0" fontId="18" fillId="0" borderId="3" xfId="8" applyFont="1" applyBorder="1" applyAlignment="1"/>
    <xf numFmtId="0" fontId="21" fillId="0" borderId="0" xfId="8" applyFont="1" applyBorder="1" applyAlignment="1">
      <alignment horizontal="right"/>
    </xf>
    <xf numFmtId="179" fontId="21" fillId="0" borderId="0" xfId="8" applyNumberFormat="1" applyFont="1" applyFill="1" applyBorder="1" applyAlignment="1">
      <alignment horizontal="right"/>
    </xf>
    <xf numFmtId="179" fontId="21" fillId="0" borderId="0" xfId="8" applyNumberFormat="1" applyFont="1" applyBorder="1" applyAlignment="1">
      <alignment horizontal="right"/>
    </xf>
    <xf numFmtId="0" fontId="22" fillId="0" borderId="0" xfId="8" applyFont="1" applyBorder="1" applyAlignment="1">
      <alignment horizontal="center"/>
    </xf>
    <xf numFmtId="0" fontId="21" fillId="0" borderId="0" xfId="8" applyFont="1" applyBorder="1"/>
    <xf numFmtId="179" fontId="21" fillId="0" borderId="27" xfId="8" applyNumberFormat="1" applyFont="1" applyBorder="1" applyAlignment="1">
      <alignment horizontal="center"/>
    </xf>
    <xf numFmtId="0" fontId="23" fillId="0" borderId="40" xfId="9" applyFont="1" applyBorder="1"/>
    <xf numFmtId="0" fontId="23" fillId="0" borderId="41" xfId="9" applyFont="1" applyBorder="1"/>
    <xf numFmtId="0" fontId="23" fillId="0" borderId="35" xfId="9" applyFont="1" applyBorder="1"/>
    <xf numFmtId="0" fontId="23" fillId="0" borderId="32" xfId="9" applyFont="1" applyBorder="1" applyAlignment="1">
      <alignment horizontal="center"/>
    </xf>
    <xf numFmtId="0" fontId="23" fillId="0" borderId="10" xfId="9" applyFont="1" applyBorder="1" applyAlignment="1">
      <alignment horizontal="center"/>
    </xf>
    <xf numFmtId="0" fontId="23" fillId="0" borderId="7" xfId="9" applyFont="1" applyBorder="1"/>
    <xf numFmtId="0" fontId="24" fillId="0" borderId="6" xfId="9" applyFont="1" applyBorder="1" applyAlignment="1">
      <alignment horizontal="center"/>
    </xf>
    <xf numFmtId="0" fontId="23" fillId="0" borderId="42" xfId="9" applyFont="1" applyBorder="1" applyAlignment="1">
      <alignment horizontal="center"/>
    </xf>
    <xf numFmtId="0" fontId="23" fillId="0" borderId="0" xfId="9" applyFont="1" applyBorder="1"/>
    <xf numFmtId="0" fontId="23" fillId="0" borderId="2" xfId="9" applyFont="1" applyBorder="1"/>
    <xf numFmtId="0" fontId="23" fillId="0" borderId="9" xfId="9" applyFont="1" applyBorder="1"/>
    <xf numFmtId="0" fontId="24" fillId="0" borderId="6" xfId="9" applyFont="1" applyBorder="1"/>
    <xf numFmtId="0" fontId="23" fillId="0" borderId="4" xfId="9" applyFont="1" applyBorder="1"/>
    <xf numFmtId="0" fontId="23" fillId="0" borderId="5" xfId="9" applyFont="1" applyBorder="1"/>
    <xf numFmtId="0" fontId="23" fillId="0" borderId="1" xfId="9" applyFont="1" applyBorder="1"/>
    <xf numFmtId="0" fontId="24" fillId="0" borderId="7" xfId="9" applyFont="1" applyBorder="1"/>
    <xf numFmtId="0" fontId="24" fillId="0" borderId="5" xfId="9" applyFont="1" applyBorder="1"/>
    <xf numFmtId="0" fontId="24" fillId="0" borderId="35" xfId="9" applyFont="1" applyBorder="1"/>
    <xf numFmtId="0" fontId="23" fillId="0" borderId="6" xfId="9" applyFont="1" applyBorder="1"/>
    <xf numFmtId="0" fontId="24" fillId="0" borderId="1" xfId="9" applyFont="1" applyBorder="1"/>
    <xf numFmtId="0" fontId="23" fillId="0" borderId="13" xfId="9" applyFont="1" applyBorder="1" applyAlignment="1">
      <alignment horizontal="center"/>
    </xf>
    <xf numFmtId="0" fontId="23" fillId="0" borderId="3" xfId="9" applyFont="1" applyBorder="1"/>
    <xf numFmtId="0" fontId="23" fillId="0" borderId="19" xfId="9" applyFont="1" applyBorder="1" applyAlignment="1">
      <alignment horizontal="center"/>
    </xf>
    <xf numFmtId="0" fontId="23" fillId="0" borderId="40" xfId="9" applyFont="1" applyBorder="1" applyAlignment="1"/>
    <xf numFmtId="0" fontId="23" fillId="0" borderId="41" xfId="9" applyFont="1" applyBorder="1" applyAlignment="1"/>
    <xf numFmtId="0" fontId="24" fillId="0" borderId="40" xfId="9" applyFont="1" applyBorder="1" applyAlignment="1"/>
    <xf numFmtId="0" fontId="23" fillId="0" borderId="10" xfId="9" applyFont="1" applyBorder="1" applyAlignment="1">
      <alignment vertical="center"/>
    </xf>
    <xf numFmtId="0" fontId="23" fillId="0" borderId="42" xfId="9" applyFont="1" applyBorder="1" applyAlignment="1">
      <alignment vertical="center"/>
    </xf>
    <xf numFmtId="14" fontId="21" fillId="0" borderId="31" xfId="8" applyNumberFormat="1" applyFont="1" applyBorder="1" applyAlignment="1">
      <alignment horizontal="left" vertical="center"/>
    </xf>
    <xf numFmtId="178" fontId="21" fillId="0" borderId="8" xfId="8" applyNumberFormat="1" applyFont="1" applyBorder="1" applyAlignment="1"/>
    <xf numFmtId="178" fontId="21" fillId="0" borderId="8" xfId="8" applyNumberFormat="1" applyFont="1" applyBorder="1"/>
    <xf numFmtId="1" fontId="21" fillId="0" borderId="2" xfId="8" applyNumberFormat="1" applyFont="1" applyBorder="1" applyAlignment="1">
      <alignment horizontal="center"/>
    </xf>
    <xf numFmtId="1" fontId="18" fillId="0" borderId="2" xfId="8" applyNumberFormat="1" applyFont="1" applyBorder="1" applyAlignment="1">
      <alignment horizontal="center"/>
    </xf>
    <xf numFmtId="0" fontId="25" fillId="0" borderId="40" xfId="8" applyFont="1" applyBorder="1" applyAlignment="1">
      <alignment horizontal="center"/>
    </xf>
    <xf numFmtId="179" fontId="25" fillId="0" borderId="8" xfId="8" applyNumberFormat="1" applyFont="1" applyBorder="1" applyAlignment="1">
      <alignment horizontal="center"/>
    </xf>
    <xf numFmtId="0" fontId="18" fillId="0" borderId="4" xfId="8" applyFont="1" applyBorder="1" applyAlignment="1">
      <alignment horizontal="left"/>
    </xf>
    <xf numFmtId="0" fontId="18" fillId="0" borderId="3" xfId="8" applyFont="1" applyBorder="1"/>
    <xf numFmtId="0" fontId="18" fillId="0" borderId="0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21" fillId="0" borderId="0" xfId="8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7" fillId="0" borderId="2" xfId="8" applyFont="1" applyBorder="1" applyAlignment="1">
      <alignment horizontal="center"/>
    </xf>
    <xf numFmtId="0" fontId="16" fillId="0" borderId="0" xfId="0" applyFont="1" applyBorder="1" applyAlignment="1"/>
    <xf numFmtId="2" fontId="17" fillId="0" borderId="14" xfId="8" applyNumberFormat="1" applyFont="1" applyBorder="1"/>
    <xf numFmtId="2" fontId="17" fillId="0" borderId="11" xfId="8" applyNumberFormat="1" applyFont="1" applyBorder="1"/>
    <xf numFmtId="2" fontId="17" fillId="0" borderId="31" xfId="8" applyNumberFormat="1" applyFont="1" applyBorder="1" applyAlignment="1"/>
    <xf numFmtId="2" fontId="17" fillId="0" borderId="31" xfId="8" applyNumberFormat="1" applyFont="1" applyBorder="1"/>
    <xf numFmtId="2" fontId="17" fillId="0" borderId="34" xfId="8" applyNumberFormat="1" applyFont="1" applyBorder="1" applyAlignment="1">
      <alignment horizontal="center"/>
    </xf>
    <xf numFmtId="2" fontId="17" fillId="0" borderId="43" xfId="8" applyNumberFormat="1" applyFont="1" applyBorder="1" applyAlignment="1">
      <alignment horizontal="center"/>
    </xf>
    <xf numFmtId="2" fontId="17" fillId="0" borderId="44" xfId="8" applyNumberFormat="1" applyFont="1" applyBorder="1" applyAlignment="1">
      <alignment horizontal="center" vertical="top"/>
    </xf>
    <xf numFmtId="2" fontId="17" fillId="0" borderId="44" xfId="8" applyNumberFormat="1" applyFont="1" applyBorder="1" applyAlignment="1">
      <alignment horizontal="right"/>
    </xf>
    <xf numFmtId="2" fontId="21" fillId="0" borderId="44" xfId="8" applyNumberFormat="1" applyFont="1" applyBorder="1" applyAlignment="1">
      <alignment horizontal="right"/>
    </xf>
    <xf numFmtId="2" fontId="18" fillId="0" borderId="44" xfId="8" applyNumberFormat="1" applyFont="1" applyBorder="1" applyAlignment="1">
      <alignment horizontal="right"/>
    </xf>
    <xf numFmtId="2" fontId="25" fillId="0" borderId="33" xfId="8" applyNumberFormat="1" applyFont="1" applyBorder="1" applyAlignment="1">
      <alignment horizontal="right"/>
    </xf>
    <xf numFmtId="0" fontId="17" fillId="0" borderId="19" xfId="8" applyFont="1" applyBorder="1"/>
    <xf numFmtId="0" fontId="26" fillId="0" borderId="12" xfId="8" applyFont="1" applyBorder="1"/>
    <xf numFmtId="0" fontId="18" fillId="0" borderId="13" xfId="8" applyFont="1" applyBorder="1" applyAlignment="1"/>
    <xf numFmtId="2" fontId="17" fillId="0" borderId="14" xfId="8" applyNumberFormat="1" applyFont="1" applyBorder="1" applyAlignment="1">
      <alignment horizontal="center"/>
    </xf>
    <xf numFmtId="0" fontId="17" fillId="0" borderId="45" xfId="8" applyFont="1" applyBorder="1"/>
    <xf numFmtId="2" fontId="17" fillId="0" borderId="16" xfId="8" applyNumberFormat="1" applyFont="1" applyBorder="1"/>
    <xf numFmtId="0" fontId="17" fillId="0" borderId="16" xfId="8" applyFont="1" applyBorder="1"/>
    <xf numFmtId="2" fontId="17" fillId="0" borderId="17" xfId="8" applyNumberFormat="1" applyFont="1" applyBorder="1"/>
    <xf numFmtId="0" fontId="18" fillId="0" borderId="0" xfId="8" applyFont="1" applyBorder="1" applyAlignment="1">
      <alignment horizontal="center" vertical="center"/>
    </xf>
    <xf numFmtId="0" fontId="18" fillId="0" borderId="0" xfId="8" applyFont="1" applyBorder="1" applyAlignment="1">
      <alignment horizontal="left" vertical="center"/>
    </xf>
    <xf numFmtId="0" fontId="18" fillId="0" borderId="14" xfId="8" applyFont="1" applyBorder="1" applyAlignment="1">
      <alignment horizontal="left" vertical="center"/>
    </xf>
    <xf numFmtId="0" fontId="18" fillId="0" borderId="14" xfId="8" applyFont="1" applyBorder="1" applyAlignment="1"/>
    <xf numFmtId="0" fontId="21" fillId="0" borderId="33" xfId="8" applyFont="1" applyBorder="1"/>
    <xf numFmtId="0" fontId="17" fillId="0" borderId="17" xfId="8" applyFont="1" applyBorder="1"/>
    <xf numFmtId="0" fontId="18" fillId="0" borderId="7" xfId="9" applyFont="1" applyBorder="1" applyAlignment="1">
      <alignment vertical="center"/>
    </xf>
    <xf numFmtId="0" fontId="18" fillId="0" borderId="0" xfId="9" applyFont="1" applyBorder="1" applyAlignment="1">
      <alignment vertical="center"/>
    </xf>
    <xf numFmtId="0" fontId="18" fillId="0" borderId="0" xfId="8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8" fillId="0" borderId="14" xfId="8" applyFont="1" applyBorder="1" applyAlignment="1">
      <alignment horizontal="center"/>
    </xf>
    <xf numFmtId="0" fontId="17" fillId="0" borderId="0" xfId="8" applyFont="1" applyBorder="1" applyAlignment="1">
      <alignment horizontal="center"/>
    </xf>
    <xf numFmtId="0" fontId="18" fillId="0" borderId="7" xfId="8" applyFont="1" applyBorder="1"/>
    <xf numFmtId="0" fontId="17" fillId="0" borderId="15" xfId="8" applyFont="1" applyBorder="1"/>
    <xf numFmtId="0" fontId="0" fillId="0" borderId="0" xfId="0" applyBorder="1" applyAlignment="1">
      <alignment horizontal="left" wrapText="1"/>
    </xf>
    <xf numFmtId="0" fontId="17" fillId="0" borderId="0" xfId="8" applyFont="1" applyBorder="1" applyAlignment="1">
      <alignment horizontal="center"/>
    </xf>
    <xf numFmtId="0" fontId="27" fillId="0" borderId="18" xfId="0" applyFont="1" applyBorder="1" applyAlignment="1">
      <alignment horizontal="left" vertical="center" wrapText="1"/>
    </xf>
    <xf numFmtId="0" fontId="18" fillId="2" borderId="34" xfId="8" applyFont="1" applyFill="1" applyBorder="1" applyAlignment="1">
      <alignment horizontal="center" wrapText="1"/>
    </xf>
    <xf numFmtId="0" fontId="18" fillId="2" borderId="43" xfId="8" applyFont="1" applyFill="1" applyBorder="1" applyAlignment="1">
      <alignment horizontal="center" wrapText="1"/>
    </xf>
    <xf numFmtId="0" fontId="18" fillId="2" borderId="25" xfId="8" applyFont="1" applyFill="1" applyBorder="1" applyAlignment="1">
      <alignment horizontal="center" wrapText="1"/>
    </xf>
    <xf numFmtId="0" fontId="18" fillId="2" borderId="26" xfId="8" applyFont="1" applyFill="1" applyBorder="1" applyAlignment="1">
      <alignment horizontal="center" wrapText="1"/>
    </xf>
    <xf numFmtId="0" fontId="17" fillId="0" borderId="13" xfId="8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18" fillId="0" borderId="13" xfId="8" applyFont="1" applyBorder="1" applyAlignment="1">
      <alignment horizontal="left" vertical="top"/>
    </xf>
    <xf numFmtId="0" fontId="18" fillId="0" borderId="0" xfId="8" applyFont="1" applyBorder="1" applyAlignment="1">
      <alignment horizontal="left" vertical="top"/>
    </xf>
    <xf numFmtId="0" fontId="18" fillId="0" borderId="2" xfId="8" applyFont="1" applyBorder="1" applyAlignment="1">
      <alignment horizontal="left" vertical="top"/>
    </xf>
    <xf numFmtId="0" fontId="18" fillId="0" borderId="4" xfId="8" applyFont="1" applyBorder="1" applyAlignment="1">
      <alignment horizontal="center" vertical="center"/>
    </xf>
    <xf numFmtId="0" fontId="18" fillId="0" borderId="1" xfId="8" applyFont="1" applyBorder="1" applyAlignment="1">
      <alignment horizontal="center" vertical="center"/>
    </xf>
    <xf numFmtId="0" fontId="17" fillId="0" borderId="7" xfId="8" applyFont="1" applyBorder="1" applyAlignment="1">
      <alignment horizontal="center"/>
    </xf>
    <xf numFmtId="0" fontId="18" fillId="0" borderId="0" xfId="8" applyFont="1" applyBorder="1" applyAlignment="1">
      <alignment horizontal="center"/>
    </xf>
    <xf numFmtId="0" fontId="18" fillId="0" borderId="20" xfId="8" applyFont="1" applyBorder="1" applyAlignment="1">
      <alignment horizontal="center" vertical="center"/>
    </xf>
    <xf numFmtId="0" fontId="18" fillId="0" borderId="41" xfId="8" applyFont="1" applyBorder="1" applyAlignment="1">
      <alignment horizontal="center" vertical="center"/>
    </xf>
    <xf numFmtId="0" fontId="18" fillId="0" borderId="46" xfId="8" applyFont="1" applyBorder="1" applyAlignment="1">
      <alignment horizontal="center" vertical="center"/>
    </xf>
    <xf numFmtId="0" fontId="17" fillId="0" borderId="7" xfId="8" applyFont="1" applyBorder="1" applyAlignment="1">
      <alignment horizontal="right"/>
    </xf>
    <xf numFmtId="0" fontId="17" fillId="0" borderId="11" xfId="8" applyFont="1" applyBorder="1" applyAlignment="1">
      <alignment horizontal="right"/>
    </xf>
    <xf numFmtId="0" fontId="21" fillId="0" borderId="4" xfId="8" applyFont="1" applyBorder="1" applyAlignment="1">
      <alignment horizontal="left" vertical="center"/>
    </xf>
    <xf numFmtId="0" fontId="21" fillId="0" borderId="5" xfId="8" applyFont="1" applyBorder="1" applyAlignment="1">
      <alignment horizontal="left" vertical="center"/>
    </xf>
    <xf numFmtId="0" fontId="19" fillId="0" borderId="13" xfId="8" applyFont="1" applyBorder="1" applyAlignment="1">
      <alignment horizontal="left"/>
    </xf>
    <xf numFmtId="0" fontId="19" fillId="0" borderId="0" xfId="8" applyFont="1" applyBorder="1" applyAlignment="1">
      <alignment horizontal="left"/>
    </xf>
    <xf numFmtId="0" fontId="19" fillId="0" borderId="2" xfId="8" applyFont="1" applyBorder="1" applyAlignment="1">
      <alignment horizontal="left"/>
    </xf>
    <xf numFmtId="0" fontId="18" fillId="0" borderId="7" xfId="8" applyFont="1" applyBorder="1" applyAlignment="1">
      <alignment horizontal="left"/>
    </xf>
    <xf numFmtId="0" fontId="18" fillId="0" borderId="11" xfId="8" applyFont="1" applyBorder="1" applyAlignment="1">
      <alignment horizontal="left"/>
    </xf>
    <xf numFmtId="0" fontId="18" fillId="0" borderId="5" xfId="8" applyFont="1" applyBorder="1" applyAlignment="1">
      <alignment horizontal="center"/>
    </xf>
    <xf numFmtId="0" fontId="29" fillId="0" borderId="0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18" fillId="0" borderId="3" xfId="8" applyFont="1" applyBorder="1" applyAlignment="1">
      <alignment horizontal="left"/>
    </xf>
    <xf numFmtId="0" fontId="18" fillId="0" borderId="0" xfId="8" applyFont="1" applyBorder="1" applyAlignment="1">
      <alignment horizontal="left"/>
    </xf>
    <xf numFmtId="0" fontId="18" fillId="0" borderId="14" xfId="8" applyFont="1" applyBorder="1" applyAlignment="1">
      <alignment horizontal="left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Border="1" applyAlignment="1">
      <alignment horizontal="left" vertical="top" wrapText="1"/>
    </xf>
    <xf numFmtId="0" fontId="18" fillId="0" borderId="14" xfId="8" applyFont="1" applyBorder="1" applyAlignment="1">
      <alignment horizontal="left" vertical="top" wrapText="1"/>
    </xf>
    <xf numFmtId="0" fontId="18" fillId="0" borderId="4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left" vertical="top" wrapText="1"/>
    </xf>
    <xf numFmtId="0" fontId="18" fillId="0" borderId="31" xfId="8" applyFont="1" applyBorder="1" applyAlignment="1">
      <alignment horizontal="center" vertical="center"/>
    </xf>
    <xf numFmtId="0" fontId="17" fillId="0" borderId="4" xfId="8" applyFont="1" applyBorder="1" applyAlignment="1">
      <alignment horizontal="center"/>
    </xf>
    <xf numFmtId="0" fontId="17" fillId="0" borderId="5" xfId="8" applyFont="1" applyBorder="1" applyAlignment="1">
      <alignment horizontal="center"/>
    </xf>
    <xf numFmtId="0" fontId="17" fillId="0" borderId="1" xfId="8" applyFont="1" applyBorder="1" applyAlignment="1">
      <alignment horizontal="center"/>
    </xf>
    <xf numFmtId="0" fontId="26" fillId="0" borderId="19" xfId="8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18" fillId="0" borderId="13" xfId="8" applyFont="1" applyBorder="1" applyAlignment="1">
      <alignment horizontal="left"/>
    </xf>
    <xf numFmtId="0" fontId="17" fillId="0" borderId="13" xfId="8" applyFont="1" applyBorder="1" applyAlignment="1">
      <alignment horizontal="left"/>
    </xf>
    <xf numFmtId="0" fontId="17" fillId="0" borderId="0" xfId="8" applyFont="1" applyBorder="1" applyAlignment="1">
      <alignment horizontal="left"/>
    </xf>
    <xf numFmtId="0" fontId="17" fillId="0" borderId="12" xfId="8" applyFont="1" applyBorder="1" applyAlignment="1">
      <alignment horizontal="left"/>
    </xf>
    <xf numFmtId="0" fontId="17" fillId="0" borderId="7" xfId="8" applyFont="1" applyBorder="1" applyAlignment="1">
      <alignment horizontal="left"/>
    </xf>
    <xf numFmtId="0" fontId="18" fillId="0" borderId="19" xfId="8" applyFont="1" applyBorder="1" applyAlignment="1">
      <alignment horizontal="left"/>
    </xf>
    <xf numFmtId="0" fontId="18" fillId="0" borderId="5" xfId="8" applyFont="1" applyBorder="1" applyAlignment="1">
      <alignment horizontal="left"/>
    </xf>
    <xf numFmtId="0" fontId="17" fillId="0" borderId="0" xfId="8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17" fillId="0" borderId="13" xfId="8" applyFont="1" applyBorder="1" applyAlignment="1">
      <alignment horizontal="left" wrapText="1"/>
    </xf>
    <xf numFmtId="0" fontId="17" fillId="0" borderId="0" xfId="8" applyFont="1" applyBorder="1" applyAlignment="1">
      <alignment horizontal="left" wrapText="1"/>
    </xf>
    <xf numFmtId="0" fontId="17" fillId="0" borderId="40" xfId="8" applyFont="1" applyBorder="1" applyAlignment="1">
      <alignment horizontal="left"/>
    </xf>
    <xf numFmtId="0" fontId="17" fillId="0" borderId="41" xfId="8" applyFont="1" applyBorder="1" applyAlignment="1">
      <alignment horizontal="left"/>
    </xf>
    <xf numFmtId="0" fontId="17" fillId="0" borderId="35" xfId="8" applyFont="1" applyBorder="1" applyAlignment="1">
      <alignment horizontal="left"/>
    </xf>
    <xf numFmtId="0" fontId="25" fillId="0" borderId="13" xfId="8" applyFont="1" applyBorder="1" applyAlignment="1">
      <alignment horizontal="left"/>
    </xf>
    <xf numFmtId="0" fontId="25" fillId="0" borderId="0" xfId="8" applyFont="1" applyBorder="1" applyAlignment="1">
      <alignment horizontal="left"/>
    </xf>
    <xf numFmtId="0" fontId="18" fillId="0" borderId="12" xfId="8" applyFont="1" applyFill="1" applyBorder="1" applyAlignment="1">
      <alignment horizontal="left"/>
    </xf>
    <xf numFmtId="0" fontId="18" fillId="0" borderId="7" xfId="8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21" fillId="0" borderId="19" xfId="8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35" fillId="0" borderId="31" xfId="0" applyFont="1" applyBorder="1" applyAlignment="1">
      <alignment horizontal="left" vertical="center"/>
    </xf>
    <xf numFmtId="0" fontId="17" fillId="0" borderId="13" xfId="8" applyFont="1" applyFill="1" applyBorder="1" applyAlignment="1">
      <alignment horizontal="left"/>
    </xf>
    <xf numFmtId="0" fontId="17" fillId="0" borderId="0" xfId="8" applyFont="1" applyFill="1" applyBorder="1" applyAlignment="1">
      <alignment horizontal="left"/>
    </xf>
    <xf numFmtId="0" fontId="17" fillId="0" borderId="14" xfId="8" applyFont="1" applyFill="1" applyBorder="1" applyAlignment="1">
      <alignment horizontal="left"/>
    </xf>
    <xf numFmtId="0" fontId="22" fillId="0" borderId="9" xfId="8" applyFont="1" applyBorder="1" applyAlignment="1">
      <alignment horizontal="left" vertical="top"/>
    </xf>
    <xf numFmtId="0" fontId="22" fillId="0" borderId="7" xfId="8" applyFont="1" applyBorder="1" applyAlignment="1">
      <alignment horizontal="left" vertical="top"/>
    </xf>
    <xf numFmtId="0" fontId="22" fillId="0" borderId="11" xfId="8" applyFont="1" applyBorder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Border="1" applyAlignment="1">
      <alignment horizontal="left" vertical="top"/>
    </xf>
    <xf numFmtId="0" fontId="22" fillId="0" borderId="14" xfId="8" applyFont="1" applyBorder="1" applyAlignment="1">
      <alignment horizontal="left" vertical="top"/>
    </xf>
    <xf numFmtId="0" fontId="22" fillId="0" borderId="4" xfId="8" applyFont="1" applyBorder="1" applyAlignment="1">
      <alignment horizontal="left" vertical="top"/>
    </xf>
    <xf numFmtId="0" fontId="22" fillId="0" borderId="5" xfId="8" applyFont="1" applyBorder="1" applyAlignment="1">
      <alignment horizontal="left" vertical="top"/>
    </xf>
    <xf numFmtId="0" fontId="22" fillId="0" borderId="31" xfId="8" applyFont="1" applyBorder="1" applyAlignment="1">
      <alignment horizontal="left" vertical="top"/>
    </xf>
    <xf numFmtId="0" fontId="26" fillId="0" borderId="20" xfId="8" applyFont="1" applyBorder="1" applyAlignment="1">
      <alignment horizontal="left"/>
    </xf>
    <xf numFmtId="0" fontId="26" fillId="0" borderId="41" xfId="8" applyFont="1" applyBorder="1" applyAlignment="1">
      <alignment horizontal="left"/>
    </xf>
    <xf numFmtId="2" fontId="36" fillId="0" borderId="40" xfId="8" applyNumberFormat="1" applyFont="1" applyBorder="1" applyAlignment="1">
      <alignment horizontal="left"/>
    </xf>
    <xf numFmtId="2" fontId="36" fillId="0" borderId="41" xfId="8" applyNumberFormat="1" applyFont="1" applyBorder="1" applyAlignment="1">
      <alignment horizontal="left"/>
    </xf>
    <xf numFmtId="2" fontId="36" fillId="0" borderId="46" xfId="8" applyNumberFormat="1" applyFont="1" applyBorder="1" applyAlignment="1">
      <alignment horizontal="left"/>
    </xf>
    <xf numFmtId="0" fontId="17" fillId="0" borderId="8" xfId="8" applyFont="1" applyBorder="1" applyAlignment="1">
      <alignment horizontal="center" vertical="top"/>
    </xf>
    <xf numFmtId="0" fontId="17" fillId="0" borderId="8" xfId="8" applyFont="1" applyBorder="1" applyAlignment="1">
      <alignment horizontal="center" vertical="top" wrapText="1"/>
    </xf>
    <xf numFmtId="0" fontId="17" fillId="0" borderId="12" xfId="8" applyFont="1" applyBorder="1" applyAlignment="1">
      <alignment horizontal="left" vertical="top"/>
    </xf>
    <xf numFmtId="0" fontId="17" fillId="0" borderId="7" xfId="8" applyFont="1" applyBorder="1" applyAlignment="1">
      <alignment horizontal="left" vertical="top"/>
    </xf>
    <xf numFmtId="0" fontId="17" fillId="0" borderId="6" xfId="8" applyFont="1" applyBorder="1" applyAlignment="1">
      <alignment horizontal="left" vertical="top"/>
    </xf>
    <xf numFmtId="0" fontId="17" fillId="0" borderId="19" xfId="8" applyFont="1" applyBorder="1" applyAlignment="1">
      <alignment horizontal="left" vertical="top"/>
    </xf>
    <xf numFmtId="0" fontId="17" fillId="0" borderId="5" xfId="8" applyFont="1" applyBorder="1" applyAlignment="1">
      <alignment horizontal="left" vertical="top"/>
    </xf>
    <xf numFmtId="0" fontId="17" fillId="0" borderId="1" xfId="8" applyFont="1" applyBorder="1" applyAlignment="1">
      <alignment horizontal="left" vertical="top"/>
    </xf>
    <xf numFmtId="0" fontId="18" fillId="0" borderId="40" xfId="8" applyFont="1" applyBorder="1" applyAlignment="1">
      <alignment horizontal="left"/>
    </xf>
    <xf numFmtId="0" fontId="18" fillId="0" borderId="41" xfId="8" applyFont="1" applyBorder="1" applyAlignment="1">
      <alignment horizontal="left"/>
    </xf>
    <xf numFmtId="0" fontId="18" fillId="0" borderId="35" xfId="8" applyFont="1" applyBorder="1" applyAlignment="1">
      <alignment horizontal="left"/>
    </xf>
    <xf numFmtId="0" fontId="18" fillId="0" borderId="3" xfId="8" applyFont="1" applyBorder="1" applyAlignment="1">
      <alignment horizontal="center"/>
    </xf>
    <xf numFmtId="0" fontId="18" fillId="0" borderId="14" xfId="8" applyFont="1" applyBorder="1" applyAlignment="1">
      <alignment horizontal="center"/>
    </xf>
    <xf numFmtId="0" fontId="34" fillId="0" borderId="37" xfId="8" applyFont="1" applyBorder="1" applyAlignment="1">
      <alignment horizontal="center"/>
    </xf>
    <xf numFmtId="0" fontId="34" fillId="0" borderId="47" xfId="8" applyFont="1" applyBorder="1" applyAlignment="1">
      <alignment horizontal="center"/>
    </xf>
    <xf numFmtId="0" fontId="34" fillId="0" borderId="48" xfId="8" applyFont="1" applyBorder="1" applyAlignment="1">
      <alignment horizontal="center"/>
    </xf>
    <xf numFmtId="0" fontId="32" fillId="0" borderId="15" xfId="8" applyFont="1" applyBorder="1" applyAlignment="1">
      <alignment horizontal="left" wrapText="1"/>
    </xf>
    <xf numFmtId="0" fontId="33" fillId="0" borderId="16" xfId="0" applyFont="1" applyBorder="1" applyAlignment="1">
      <alignment horizontal="left" wrapText="1"/>
    </xf>
    <xf numFmtId="0" fontId="18" fillId="0" borderId="13" xfId="8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/>
    </xf>
    <xf numFmtId="0" fontId="32" fillId="0" borderId="13" xfId="8" applyFont="1" applyBorder="1" applyAlignment="1">
      <alignment horizontal="left" wrapText="1"/>
    </xf>
    <xf numFmtId="0" fontId="32" fillId="0" borderId="0" xfId="8" applyFont="1" applyBorder="1" applyAlignment="1">
      <alignment horizontal="left" wrapText="1"/>
    </xf>
    <xf numFmtId="0" fontId="32" fillId="0" borderId="2" xfId="8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0" borderId="0" xfId="0" applyFont="1" applyBorder="1" applyAlignment="1">
      <alignment horizontal="left" wrapText="1"/>
    </xf>
    <xf numFmtId="171" fontId="18" fillId="0" borderId="7" xfId="2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12" xfId="8" applyFont="1" applyBorder="1" applyAlignment="1">
      <alignment horizontal="left" vertical="center" wrapText="1"/>
    </xf>
    <xf numFmtId="0" fontId="17" fillId="0" borderId="7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/>
    </xf>
    <xf numFmtId="0" fontId="21" fillId="0" borderId="0" xfId="8" applyFont="1" applyBorder="1" applyAlignment="1">
      <alignment horizontal="left"/>
    </xf>
    <xf numFmtId="0" fontId="21" fillId="0" borderId="2" xfId="8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24" fillId="0" borderId="40" xfId="9" applyFont="1" applyBorder="1" applyAlignment="1">
      <alignment horizontal="center"/>
    </xf>
    <xf numFmtId="0" fontId="24" fillId="0" borderId="41" xfId="9" applyFont="1" applyBorder="1" applyAlignment="1">
      <alignment horizontal="center"/>
    </xf>
    <xf numFmtId="0" fontId="24" fillId="0" borderId="46" xfId="9" applyFont="1" applyBorder="1" applyAlignment="1">
      <alignment horizontal="center"/>
    </xf>
    <xf numFmtId="0" fontId="24" fillId="0" borderId="3" xfId="9" applyFont="1" applyBorder="1" applyAlignment="1">
      <alignment horizontal="center" vertical="top"/>
    </xf>
    <xf numFmtId="0" fontId="24" fillId="0" borderId="0" xfId="9" applyFont="1" applyBorder="1" applyAlignment="1">
      <alignment horizontal="center" vertical="top"/>
    </xf>
    <xf numFmtId="0" fontId="24" fillId="0" borderId="14" xfId="9" applyFont="1" applyBorder="1" applyAlignment="1">
      <alignment horizontal="center" vertical="top"/>
    </xf>
    <xf numFmtId="0" fontId="24" fillId="0" borderId="4" xfId="9" applyFont="1" applyBorder="1" applyAlignment="1">
      <alignment horizontal="center" vertical="center" wrapText="1"/>
    </xf>
    <xf numFmtId="0" fontId="24" fillId="0" borderId="5" xfId="9" applyFont="1" applyBorder="1" applyAlignment="1">
      <alignment horizontal="center" vertical="center" wrapText="1"/>
    </xf>
    <xf numFmtId="0" fontId="24" fillId="0" borderId="31" xfId="9" applyFont="1" applyBorder="1" applyAlignment="1">
      <alignment horizontal="center" vertical="center" wrapText="1"/>
    </xf>
    <xf numFmtId="0" fontId="24" fillId="0" borderId="9" xfId="9" applyFont="1" applyBorder="1" applyAlignment="1">
      <alignment horizontal="center" vertical="center" wrapText="1"/>
    </xf>
    <xf numFmtId="0" fontId="24" fillId="0" borderId="7" xfId="9" applyFont="1" applyBorder="1" applyAlignment="1">
      <alignment horizontal="center" vertical="center" wrapText="1"/>
    </xf>
    <xf numFmtId="0" fontId="24" fillId="0" borderId="11" xfId="9" applyFont="1" applyBorder="1" applyAlignment="1">
      <alignment horizontal="center" vertical="center" wrapText="1"/>
    </xf>
    <xf numFmtId="0" fontId="23" fillId="0" borderId="40" xfId="9" applyFont="1" applyBorder="1" applyAlignment="1">
      <alignment horizontal="left"/>
    </xf>
    <xf numFmtId="0" fontId="23" fillId="0" borderId="41" xfId="9" applyFont="1" applyBorder="1" applyAlignment="1">
      <alignment horizontal="left"/>
    </xf>
    <xf numFmtId="0" fontId="25" fillId="0" borderId="40" xfId="9" applyFont="1" applyBorder="1" applyAlignment="1">
      <alignment horizontal="center" vertical="center"/>
    </xf>
    <xf numFmtId="0" fontId="25" fillId="0" borderId="41" xfId="9" applyFont="1" applyBorder="1" applyAlignment="1">
      <alignment horizontal="center" vertical="center"/>
    </xf>
    <xf numFmtId="0" fontId="25" fillId="0" borderId="46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 vertical="center"/>
    </xf>
    <xf numFmtId="0" fontId="24" fillId="0" borderId="7" xfId="9" applyFont="1" applyBorder="1" applyAlignment="1">
      <alignment horizontal="center" vertical="center"/>
    </xf>
    <xf numFmtId="0" fontId="24" fillId="0" borderId="11" xfId="9" applyFont="1" applyBorder="1" applyAlignment="1">
      <alignment horizontal="center" vertical="center"/>
    </xf>
    <xf numFmtId="0" fontId="24" fillId="0" borderId="4" xfId="9" applyFont="1" applyBorder="1" applyAlignment="1">
      <alignment horizontal="center" vertical="center"/>
    </xf>
    <xf numFmtId="0" fontId="24" fillId="0" borderId="5" xfId="9" applyFont="1" applyBorder="1" applyAlignment="1">
      <alignment horizontal="center" vertical="center"/>
    </xf>
    <xf numFmtId="0" fontId="24" fillId="0" borderId="31" xfId="9" applyFont="1" applyBorder="1" applyAlignment="1">
      <alignment horizontal="center" vertical="center"/>
    </xf>
    <xf numFmtId="0" fontId="21" fillId="0" borderId="28" xfId="9" applyFont="1" applyBorder="1" applyAlignment="1">
      <alignment horizontal="center"/>
    </xf>
    <xf numFmtId="0" fontId="21" fillId="0" borderId="29" xfId="9" applyFont="1" applyBorder="1" applyAlignment="1">
      <alignment horizontal="center"/>
    </xf>
    <xf numFmtId="0" fontId="21" fillId="0" borderId="30" xfId="9" applyFont="1" applyBorder="1" applyAlignment="1">
      <alignment horizontal="center"/>
    </xf>
    <xf numFmtId="0" fontId="18" fillId="0" borderId="13" xfId="9" applyFont="1" applyBorder="1" applyAlignment="1">
      <alignment horizontal="center"/>
    </xf>
    <xf numFmtId="0" fontId="18" fillId="0" borderId="0" xfId="9" applyFont="1" applyBorder="1" applyAlignment="1">
      <alignment horizontal="center"/>
    </xf>
    <xf numFmtId="0" fontId="18" fillId="0" borderId="14" xfId="9" applyFont="1" applyBorder="1" applyAlignment="1">
      <alignment horizontal="center"/>
    </xf>
    <xf numFmtId="0" fontId="37" fillId="0" borderId="13" xfId="9" applyFont="1" applyBorder="1" applyAlignment="1">
      <alignment horizontal="center"/>
    </xf>
    <xf numFmtId="0" fontId="37" fillId="0" borderId="0" xfId="9" applyFont="1" applyBorder="1" applyAlignment="1">
      <alignment horizontal="center"/>
    </xf>
    <xf numFmtId="0" fontId="37" fillId="0" borderId="14" xfId="9" applyFont="1" applyBorder="1" applyAlignment="1">
      <alignment horizontal="center"/>
    </xf>
    <xf numFmtId="0" fontId="38" fillId="0" borderId="13" xfId="9" applyFont="1" applyBorder="1" applyAlignment="1">
      <alignment horizontal="center"/>
    </xf>
    <xf numFmtId="0" fontId="38" fillId="0" borderId="0" xfId="9" applyFont="1" applyBorder="1" applyAlignment="1">
      <alignment horizontal="center"/>
    </xf>
    <xf numFmtId="0" fontId="38" fillId="0" borderId="14" xfId="9" applyFont="1" applyBorder="1" applyAlignment="1">
      <alignment horizontal="center"/>
    </xf>
    <xf numFmtId="0" fontId="39" fillId="0" borderId="19" xfId="9" applyFont="1" applyBorder="1" applyAlignment="1">
      <alignment horizontal="center"/>
    </xf>
    <xf numFmtId="0" fontId="39" fillId="0" borderId="5" xfId="9" applyFont="1" applyBorder="1" applyAlignment="1">
      <alignment horizontal="center"/>
    </xf>
    <xf numFmtId="0" fontId="39" fillId="0" borderId="31" xfId="9" applyFont="1" applyBorder="1" applyAlignment="1">
      <alignment horizontal="center"/>
    </xf>
    <xf numFmtId="0" fontId="24" fillId="0" borderId="3" xfId="9" applyFont="1" applyBorder="1" applyAlignment="1">
      <alignment horizontal="center" vertical="center"/>
    </xf>
    <xf numFmtId="0" fontId="24" fillId="0" borderId="0" xfId="9" applyFont="1" applyBorder="1" applyAlignment="1">
      <alignment horizontal="center" vertical="center"/>
    </xf>
    <xf numFmtId="0" fontId="24" fillId="0" borderId="14" xfId="9" applyFont="1" applyBorder="1" applyAlignment="1">
      <alignment horizontal="center" vertical="center"/>
    </xf>
    <xf numFmtId="0" fontId="24" fillId="0" borderId="9" xfId="9" applyFont="1" applyBorder="1" applyAlignment="1">
      <alignment horizontal="center"/>
    </xf>
    <xf numFmtId="0" fontId="24" fillId="0" borderId="7" xfId="9" applyFont="1" applyBorder="1" applyAlignment="1">
      <alignment horizontal="center"/>
    </xf>
    <xf numFmtId="0" fontId="24" fillId="0" borderId="11" xfId="9" applyFont="1" applyBorder="1" applyAlignment="1">
      <alignment horizontal="center"/>
    </xf>
    <xf numFmtId="0" fontId="24" fillId="0" borderId="4" xfId="9" applyFont="1" applyBorder="1" applyAlignment="1">
      <alignment horizontal="center"/>
    </xf>
    <xf numFmtId="0" fontId="24" fillId="0" borderId="5" xfId="9" applyFont="1" applyBorder="1" applyAlignment="1">
      <alignment horizontal="center"/>
    </xf>
    <xf numFmtId="0" fontId="24" fillId="0" borderId="31" xfId="9" applyFont="1" applyBorder="1" applyAlignment="1">
      <alignment horizontal="center"/>
    </xf>
    <xf numFmtId="0" fontId="23" fillId="0" borderId="35" xfId="9" applyFont="1" applyBorder="1" applyAlignment="1">
      <alignment horizontal="left"/>
    </xf>
    <xf numFmtId="14" fontId="24" fillId="0" borderId="4" xfId="9" applyNumberFormat="1" applyFont="1" applyBorder="1" applyAlignment="1">
      <alignment horizontal="center"/>
    </xf>
    <xf numFmtId="14" fontId="24" fillId="0" borderId="5" xfId="9" applyNumberFormat="1" applyFont="1" applyBorder="1" applyAlignment="1">
      <alignment horizontal="center"/>
    </xf>
    <xf numFmtId="14" fontId="24" fillId="0" borderId="31" xfId="9" applyNumberFormat="1" applyFont="1" applyBorder="1" applyAlignment="1">
      <alignment horizontal="center"/>
    </xf>
    <xf numFmtId="0" fontId="15" fillId="0" borderId="40" xfId="9" applyFont="1" applyBorder="1" applyAlignment="1">
      <alignment horizontal="left"/>
    </xf>
    <xf numFmtId="0" fontId="24" fillId="0" borderId="40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right" vertical="center" wrapText="1"/>
    </xf>
    <xf numFmtId="0" fontId="24" fillId="0" borderId="41" xfId="9" applyFont="1" applyBorder="1" applyAlignment="1">
      <alignment horizontal="left" vertical="center" wrapText="1"/>
    </xf>
    <xf numFmtId="0" fontId="24" fillId="0" borderId="46" xfId="9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3" xfId="9" applyFont="1" applyBorder="1" applyAlignment="1">
      <alignment horizontal="center" vertical="center"/>
    </xf>
    <xf numFmtId="0" fontId="18" fillId="0" borderId="0" xfId="9" applyFont="1" applyBorder="1" applyAlignment="1">
      <alignment horizontal="center" vertical="center"/>
    </xf>
    <xf numFmtId="0" fontId="18" fillId="0" borderId="14" xfId="9" applyFont="1" applyBorder="1" applyAlignment="1">
      <alignment horizontal="center" vertical="center"/>
    </xf>
    <xf numFmtId="14" fontId="24" fillId="0" borderId="5" xfId="9" applyNumberFormat="1" applyFont="1" applyBorder="1" applyAlignment="1">
      <alignment horizontal="center" vertical="center" wrapText="1"/>
    </xf>
    <xf numFmtId="14" fontId="24" fillId="0" borderId="31" xfId="9" applyNumberFormat="1" applyFont="1" applyBorder="1" applyAlignment="1">
      <alignment horizontal="center" vertical="center" wrapText="1"/>
    </xf>
    <xf numFmtId="0" fontId="24" fillId="0" borderId="9" xfId="9" applyNumberFormat="1" applyFont="1" applyBorder="1" applyAlignment="1">
      <alignment horizontal="center" vertical="center" wrapText="1"/>
    </xf>
    <xf numFmtId="0" fontId="24" fillId="0" borderId="7" xfId="9" applyNumberFormat="1" applyFont="1" applyBorder="1" applyAlignment="1">
      <alignment horizontal="center" vertical="center" wrapText="1"/>
    </xf>
    <xf numFmtId="0" fontId="24" fillId="0" borderId="11" xfId="9" applyNumberFormat="1" applyFont="1" applyBorder="1" applyAlignment="1">
      <alignment horizontal="center" vertical="center" wrapText="1"/>
    </xf>
    <xf numFmtId="0" fontId="17" fillId="0" borderId="19" xfId="10" applyFont="1" applyBorder="1" applyAlignment="1">
      <alignment horizontal="left"/>
    </xf>
    <xf numFmtId="0" fontId="17" fillId="0" borderId="5" xfId="10" applyFont="1" applyBorder="1" applyAlignment="1">
      <alignment horizontal="left"/>
    </xf>
    <xf numFmtId="0" fontId="17" fillId="0" borderId="31" xfId="10" applyFont="1" applyBorder="1" applyAlignment="1">
      <alignment horizontal="left"/>
    </xf>
    <xf numFmtId="0" fontId="24" fillId="0" borderId="40" xfId="9" applyFont="1" applyBorder="1" applyAlignment="1">
      <alignment horizontal="center" vertical="center"/>
    </xf>
    <xf numFmtId="0" fontId="24" fillId="0" borderId="41" xfId="9" applyFont="1" applyBorder="1" applyAlignment="1">
      <alignment horizontal="center" vertical="center"/>
    </xf>
    <xf numFmtId="0" fontId="24" fillId="0" borderId="46" xfId="9" applyFont="1" applyBorder="1" applyAlignment="1">
      <alignment horizontal="center" vertical="center"/>
    </xf>
    <xf numFmtId="0" fontId="24" fillId="0" borderId="40" xfId="9" applyFont="1" applyBorder="1" applyAlignment="1">
      <alignment horizontal="left"/>
    </xf>
    <xf numFmtId="0" fontId="24" fillId="0" borderId="41" xfId="9" applyFont="1" applyBorder="1" applyAlignment="1">
      <alignment horizontal="left"/>
    </xf>
    <xf numFmtId="0" fontId="24" fillId="0" borderId="35" xfId="9" applyFont="1" applyBorder="1" applyAlignment="1">
      <alignment horizontal="left"/>
    </xf>
    <xf numFmtId="0" fontId="24" fillId="0" borderId="9" xfId="9" applyFont="1" applyBorder="1" applyAlignment="1">
      <alignment horizontal="left" wrapText="1"/>
    </xf>
    <xf numFmtId="0" fontId="24" fillId="0" borderId="7" xfId="9" applyFont="1" applyBorder="1" applyAlignment="1">
      <alignment horizontal="left" wrapText="1"/>
    </xf>
    <xf numFmtId="0" fontId="24" fillId="0" borderId="11" xfId="9" applyFont="1" applyBorder="1" applyAlignment="1">
      <alignment horizontal="left" wrapText="1"/>
    </xf>
    <xf numFmtId="0" fontId="21" fillId="0" borderId="4" xfId="9" applyFont="1" applyBorder="1" applyAlignment="1">
      <alignment horizontal="left" wrapText="1"/>
    </xf>
    <xf numFmtId="0" fontId="21" fillId="0" borderId="5" xfId="9" applyFont="1" applyBorder="1" applyAlignment="1">
      <alignment horizontal="left" wrapText="1"/>
    </xf>
    <xf numFmtId="0" fontId="21" fillId="0" borderId="31" xfId="9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8" fillId="0" borderId="13" xfId="8" applyFont="1" applyBorder="1" applyAlignment="1">
      <alignment horizontal="left" vertical="top" wrapText="1"/>
    </xf>
    <xf numFmtId="0" fontId="17" fillId="0" borderId="13" xfId="8" applyFont="1" applyFill="1" applyBorder="1" applyAlignment="1">
      <alignment horizontal="left" wrapText="1"/>
    </xf>
    <xf numFmtId="0" fontId="24" fillId="0" borderId="3" xfId="9" applyFont="1" applyBorder="1" applyAlignment="1">
      <alignment horizontal="center" vertical="top" wrapText="1"/>
    </xf>
    <xf numFmtId="181" fontId="18" fillId="2" borderId="8" xfId="1" applyNumberFormat="1" applyFont="1" applyFill="1" applyBorder="1" applyAlignment="1">
      <alignment horizontal="center"/>
    </xf>
    <xf numFmtId="181" fontId="18" fillId="0" borderId="8" xfId="8" applyNumberFormat="1" applyFont="1" applyBorder="1" applyAlignment="1">
      <alignment horizontal="center"/>
    </xf>
    <xf numFmtId="0" fontId="18" fillId="0" borderId="8" xfId="8" applyNumberFormat="1" applyFont="1" applyBorder="1" applyAlignment="1">
      <alignment horizontal="center"/>
    </xf>
    <xf numFmtId="0" fontId="18" fillId="0" borderId="33" xfId="8" applyFont="1" applyBorder="1" applyAlignment="1">
      <alignment horizontal="center"/>
    </xf>
  </cellXfs>
  <cellStyles count="12">
    <cellStyle name="Comma" xfId="1" builtinId="3"/>
    <cellStyle name="Comma 2" xfId="2" xr:uid="{153B587C-B224-4C15-9A09-A9B22F242C1D}"/>
    <cellStyle name="Comma 2 2" xfId="3" xr:uid="{F3C8BCBF-AAA1-440D-8FDD-02128B7EF5E0}"/>
    <cellStyle name="Comma 2 3" xfId="4" xr:uid="{191FC3F8-08B9-4097-9AAB-EB9062BF2DF4}"/>
    <cellStyle name="Excel Built-in Normal" xfId="5" xr:uid="{C2BE65E2-C727-4E34-8C42-823C9D39F2AA}"/>
    <cellStyle name="Excel Built-in Normal 2" xfId="6" xr:uid="{2E003008-720B-4BE1-BE42-C5D5DEE38B0F}"/>
    <cellStyle name="Excel Built-in Normal 3" xfId="7" xr:uid="{CA56AB4B-0643-4DA4-B021-32021FBD91D7}"/>
    <cellStyle name="Normal" xfId="0" builtinId="0"/>
    <cellStyle name="Normal 2" xfId="8" xr:uid="{DBD34AEA-A6D4-4080-AD07-FBCFA75F5651}"/>
    <cellStyle name="Normal 2 2" xfId="9" xr:uid="{BDC837BF-97A9-4ED8-811D-EE90738AFAEE}"/>
    <cellStyle name="Normal 2 2 2" xfId="10" xr:uid="{7C6C0526-55E6-4552-9230-B3EABF1CF289}"/>
    <cellStyle name="Normal 2 2 3" xfId="11" xr:uid="{DF186EEC-EB68-45F2-BF6F-C25B8135FD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66675</xdr:rowOff>
    </xdr:from>
    <xdr:to>
      <xdr:col>3</xdr:col>
      <xdr:colOff>0</xdr:colOff>
      <xdr:row>46</xdr:row>
      <xdr:rowOff>9525</xdr:rowOff>
    </xdr:to>
    <xdr:pic>
      <xdr:nvPicPr>
        <xdr:cNvPr id="1430" name="Picture 1">
          <a:extLst>
            <a:ext uri="{FF2B5EF4-FFF2-40B4-BE49-F238E27FC236}">
              <a16:creationId xmlns:a16="http://schemas.microsoft.com/office/drawing/2014/main" id="{BAF9407D-CDEE-48FD-4E8F-97D1E8EE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734675"/>
          <a:ext cx="7105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0</xdr:row>
      <xdr:rowOff>0</xdr:rowOff>
    </xdr:from>
    <xdr:to>
      <xdr:col>2</xdr:col>
      <xdr:colOff>3276600</xdr:colOff>
      <xdr:row>4</xdr:row>
      <xdr:rowOff>57150</xdr:rowOff>
    </xdr:to>
    <xdr:pic>
      <xdr:nvPicPr>
        <xdr:cNvPr id="1431" name="Picture 2">
          <a:extLst>
            <a:ext uri="{FF2B5EF4-FFF2-40B4-BE49-F238E27FC236}">
              <a16:creationId xmlns:a16="http://schemas.microsoft.com/office/drawing/2014/main" id="{83E41364-52AA-0D3C-1F23-2E74AE3E2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0"/>
          <a:ext cx="61722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942975</xdr:colOff>
      <xdr:row>4</xdr:row>
      <xdr:rowOff>0</xdr:rowOff>
    </xdr:to>
    <xdr:pic>
      <xdr:nvPicPr>
        <xdr:cNvPr id="1432" name="Picture 3">
          <a:extLst>
            <a:ext uri="{FF2B5EF4-FFF2-40B4-BE49-F238E27FC236}">
              <a16:creationId xmlns:a16="http://schemas.microsoft.com/office/drawing/2014/main" id="{92A73BD9-56BD-0829-6ED5-E0981B69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19050</xdr:rowOff>
    </xdr:from>
    <xdr:to>
      <xdr:col>3</xdr:col>
      <xdr:colOff>3467100</xdr:colOff>
      <xdr:row>4</xdr:row>
      <xdr:rowOff>76200</xdr:rowOff>
    </xdr:to>
    <xdr:pic>
      <xdr:nvPicPr>
        <xdr:cNvPr id="2451" name="Picture 1">
          <a:extLst>
            <a:ext uri="{FF2B5EF4-FFF2-40B4-BE49-F238E27FC236}">
              <a16:creationId xmlns:a16="http://schemas.microsoft.com/office/drawing/2014/main" id="{34983864-CAF1-301D-7AC8-0D4D483F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050"/>
          <a:ext cx="60769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4</xdr:row>
      <xdr:rowOff>0</xdr:rowOff>
    </xdr:to>
    <xdr:pic>
      <xdr:nvPicPr>
        <xdr:cNvPr id="2452" name="Picture 2">
          <a:extLst>
            <a:ext uri="{FF2B5EF4-FFF2-40B4-BE49-F238E27FC236}">
              <a16:creationId xmlns:a16="http://schemas.microsoft.com/office/drawing/2014/main" id="{01B3D673-200F-5429-4773-DBE9BC255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4</xdr:col>
      <xdr:colOff>9525</xdr:colOff>
      <xdr:row>47</xdr:row>
      <xdr:rowOff>142875</xdr:rowOff>
    </xdr:to>
    <xdr:pic>
      <xdr:nvPicPr>
        <xdr:cNvPr id="2453" name="Picture 3">
          <a:extLst>
            <a:ext uri="{FF2B5EF4-FFF2-40B4-BE49-F238E27FC236}">
              <a16:creationId xmlns:a16="http://schemas.microsoft.com/office/drawing/2014/main" id="{B810CA4F-B131-EBAB-984A-CF86891A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70389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2E44-007D-4E07-BB92-09E9EFE4CA65}">
  <dimension ref="A1:Q96"/>
  <sheetViews>
    <sheetView zoomScaleNormal="100" workbookViewId="0">
      <selection activeCell="I68" sqref="I68"/>
    </sheetView>
  </sheetViews>
  <sheetFormatPr defaultRowHeight="12.75" x14ac:dyDescent="0.2"/>
  <cols>
    <col min="1" max="1" width="9.85546875" style="1" customWidth="1"/>
    <col min="2" max="2" width="12.7109375" style="1" customWidth="1"/>
    <col min="3" max="3" width="9.140625" style="1"/>
    <col min="4" max="4" width="10.5703125" style="1" customWidth="1"/>
    <col min="5" max="5" width="12.85546875" style="1" customWidth="1"/>
    <col min="6" max="6" width="6.28515625" style="1" customWidth="1"/>
    <col min="7" max="7" width="10.42578125" style="1" customWidth="1"/>
    <col min="8" max="8" width="9.7109375" style="1" customWidth="1"/>
    <col min="9" max="9" width="12.7109375" style="1" customWidth="1"/>
    <col min="10" max="10" width="10.85546875" style="1" customWidth="1"/>
    <col min="11" max="11" width="12.140625" style="1" customWidth="1"/>
    <col min="12" max="12" width="1.5703125" style="1" customWidth="1"/>
    <col min="13" max="13" width="2.28515625" style="1" customWidth="1"/>
    <col min="14" max="14" width="2.42578125" style="1" customWidth="1"/>
    <col min="15" max="15" width="9.140625" style="1" hidden="1" customWidth="1"/>
    <col min="16" max="16" width="2.28515625" style="1" customWidth="1"/>
    <col min="17" max="16384" width="9.140625" style="1"/>
  </cols>
  <sheetData>
    <row r="1" spans="1:11" ht="6.75" customHeight="1" x14ac:dyDescent="0.2">
      <c r="A1" s="80"/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1" ht="11.25" hidden="1" customHeight="1" x14ac:dyDescent="0.2">
      <c r="A2" s="83"/>
      <c r="B2" s="137"/>
      <c r="C2" s="137"/>
      <c r="D2" s="137"/>
      <c r="E2" s="137"/>
      <c r="F2" s="137"/>
      <c r="G2" s="137"/>
      <c r="H2" s="137"/>
      <c r="I2" s="137"/>
      <c r="J2" s="137"/>
      <c r="K2" s="228">
        <v>1</v>
      </c>
    </row>
    <row r="3" spans="1:11" ht="20.25" customHeight="1" x14ac:dyDescent="0.2">
      <c r="A3" s="248" t="s">
        <v>0</v>
      </c>
      <c r="B3" s="249"/>
      <c r="C3" s="249"/>
      <c r="D3" s="249"/>
      <c r="E3" s="249"/>
      <c r="F3" s="249"/>
      <c r="G3" s="249"/>
      <c r="H3" s="249"/>
      <c r="I3" s="249"/>
      <c r="J3" s="249"/>
      <c r="K3" s="250"/>
    </row>
    <row r="4" spans="1:11" x14ac:dyDescent="0.2">
      <c r="A4" s="100" t="s">
        <v>1</v>
      </c>
      <c r="B4" s="134"/>
      <c r="C4" s="134"/>
      <c r="D4" s="134"/>
      <c r="E4" s="134"/>
      <c r="F4" s="134"/>
      <c r="G4" s="135"/>
      <c r="H4" s="101" t="s">
        <v>2</v>
      </c>
      <c r="I4" s="134"/>
      <c r="J4" s="251" t="s">
        <v>3</v>
      </c>
      <c r="K4" s="252"/>
    </row>
    <row r="5" spans="1:11" ht="15.75" x14ac:dyDescent="0.2">
      <c r="A5" s="255" t="s">
        <v>140</v>
      </c>
      <c r="B5" s="256"/>
      <c r="C5" s="256"/>
      <c r="D5" s="256"/>
      <c r="E5" s="256"/>
      <c r="F5" s="256"/>
      <c r="G5" s="257"/>
      <c r="H5" s="253" t="s">
        <v>148</v>
      </c>
      <c r="I5" s="254"/>
      <c r="J5" s="136" t="s">
        <v>4</v>
      </c>
      <c r="K5" s="177">
        <v>46042</v>
      </c>
    </row>
    <row r="6" spans="1:11" x14ac:dyDescent="0.2">
      <c r="A6" s="255" t="s">
        <v>141</v>
      </c>
      <c r="B6" s="261"/>
      <c r="C6" s="261"/>
      <c r="D6" s="261"/>
      <c r="E6" s="261"/>
      <c r="F6" s="261"/>
      <c r="G6" s="262"/>
      <c r="H6" s="137" t="s">
        <v>5</v>
      </c>
      <c r="I6" s="137"/>
      <c r="J6" s="258" t="s">
        <v>149</v>
      </c>
      <c r="K6" s="259"/>
    </row>
    <row r="7" spans="1:11" x14ac:dyDescent="0.2">
      <c r="A7" s="255" t="s">
        <v>142</v>
      </c>
      <c r="B7" s="261"/>
      <c r="C7" s="261"/>
      <c r="D7" s="261"/>
      <c r="E7" s="261"/>
      <c r="F7" s="261"/>
      <c r="G7" s="262"/>
      <c r="H7" s="137" t="s">
        <v>6</v>
      </c>
      <c r="I7" s="137"/>
      <c r="J7" s="137"/>
      <c r="K7" s="86"/>
    </row>
    <row r="8" spans="1:11" x14ac:dyDescent="0.2">
      <c r="A8" s="255" t="s">
        <v>143</v>
      </c>
      <c r="B8" s="261"/>
      <c r="C8" s="261"/>
      <c r="D8" s="261"/>
      <c r="E8" s="261"/>
      <c r="F8" s="261"/>
      <c r="G8" s="262"/>
      <c r="H8" s="137" t="s">
        <v>7</v>
      </c>
      <c r="I8" s="137"/>
      <c r="J8" s="137"/>
      <c r="K8" s="86"/>
    </row>
    <row r="9" spans="1:11" x14ac:dyDescent="0.2">
      <c r="A9" s="255" t="s">
        <v>144</v>
      </c>
      <c r="B9" s="261"/>
      <c r="C9" s="261"/>
      <c r="D9" s="261"/>
      <c r="E9" s="261"/>
      <c r="F9" s="261"/>
      <c r="G9" s="262"/>
      <c r="H9" s="263" t="s">
        <v>152</v>
      </c>
      <c r="I9" s="264"/>
      <c r="J9" s="264"/>
      <c r="K9" s="265"/>
    </row>
    <row r="10" spans="1:11" x14ac:dyDescent="0.2">
      <c r="A10" s="255" t="s">
        <v>145</v>
      </c>
      <c r="B10" s="261"/>
      <c r="C10" s="261"/>
      <c r="D10" s="261"/>
      <c r="E10" s="261"/>
      <c r="F10" s="261"/>
      <c r="G10" s="262"/>
      <c r="H10" s="266" t="s">
        <v>153</v>
      </c>
      <c r="I10" s="267"/>
      <c r="J10" s="267"/>
      <c r="K10" s="268"/>
    </row>
    <row r="11" spans="1:11" x14ac:dyDescent="0.2">
      <c r="A11" s="255" t="s">
        <v>146</v>
      </c>
      <c r="B11" s="261"/>
      <c r="C11" s="261"/>
      <c r="D11" s="261"/>
      <c r="E11" s="261"/>
      <c r="F11" s="261"/>
      <c r="G11" s="262"/>
      <c r="H11" s="266"/>
      <c r="I11" s="267"/>
      <c r="J11" s="267"/>
      <c r="K11" s="268"/>
    </row>
    <row r="12" spans="1:11" x14ac:dyDescent="0.2">
      <c r="A12" s="276" t="s">
        <v>147</v>
      </c>
      <c r="B12" s="277"/>
      <c r="C12" s="277"/>
      <c r="D12" s="277"/>
      <c r="E12" s="277"/>
      <c r="F12" s="277"/>
      <c r="G12" s="278"/>
      <c r="H12" s="266"/>
      <c r="I12" s="267"/>
      <c r="J12" s="267"/>
      <c r="K12" s="268"/>
    </row>
    <row r="13" spans="1:11" x14ac:dyDescent="0.2">
      <c r="A13" s="100" t="s">
        <v>8</v>
      </c>
      <c r="B13" s="134"/>
      <c r="C13" s="134"/>
      <c r="D13" s="134"/>
      <c r="E13" s="134"/>
      <c r="F13" s="134"/>
      <c r="G13" s="135"/>
      <c r="H13" s="266"/>
      <c r="I13" s="267"/>
      <c r="J13" s="267"/>
      <c r="K13" s="268"/>
    </row>
    <row r="14" spans="1:11" x14ac:dyDescent="0.2">
      <c r="A14" s="241" t="s">
        <v>150</v>
      </c>
      <c r="B14" s="242"/>
      <c r="C14" s="242"/>
      <c r="D14" s="242"/>
      <c r="E14" s="242"/>
      <c r="F14" s="242"/>
      <c r="G14" s="243"/>
      <c r="H14" s="269"/>
      <c r="I14" s="270"/>
      <c r="J14" s="270"/>
      <c r="K14" s="271"/>
    </row>
    <row r="15" spans="1:11" x14ac:dyDescent="0.2">
      <c r="A15" s="462" t="s">
        <v>151</v>
      </c>
      <c r="B15" s="242"/>
      <c r="C15" s="242"/>
      <c r="D15" s="242"/>
      <c r="E15" s="242"/>
      <c r="F15" s="242"/>
      <c r="G15" s="243"/>
      <c r="H15" s="133" t="s">
        <v>9</v>
      </c>
      <c r="I15" s="135"/>
      <c r="J15" s="134" t="s">
        <v>10</v>
      </c>
      <c r="K15" s="87"/>
    </row>
    <row r="16" spans="1:11" ht="11.25" customHeight="1" x14ac:dyDescent="0.2">
      <c r="A16" s="241"/>
      <c r="B16" s="242"/>
      <c r="C16" s="242"/>
      <c r="D16" s="242"/>
      <c r="E16" s="242"/>
      <c r="F16" s="242"/>
      <c r="G16" s="243"/>
      <c r="H16" s="6"/>
      <c r="I16" s="5"/>
      <c r="J16" s="137"/>
      <c r="K16" s="86"/>
    </row>
    <row r="17" spans="1:11" ht="28.5" customHeight="1" x14ac:dyDescent="0.2">
      <c r="A17" s="241"/>
      <c r="B17" s="242"/>
      <c r="C17" s="242"/>
      <c r="D17" s="242"/>
      <c r="E17" s="242"/>
      <c r="F17" s="242"/>
      <c r="G17" s="243"/>
      <c r="H17" s="244" t="s">
        <v>11</v>
      </c>
      <c r="I17" s="245"/>
      <c r="J17" s="244" t="s">
        <v>160</v>
      </c>
      <c r="K17" s="272"/>
    </row>
    <row r="18" spans="1:11" ht="12.75" customHeight="1" x14ac:dyDescent="0.2">
      <c r="A18" s="88"/>
      <c r="B18" s="71"/>
      <c r="C18" s="71"/>
      <c r="D18" s="71"/>
      <c r="E18" s="71"/>
      <c r="F18" s="71"/>
      <c r="G18" s="72"/>
      <c r="H18" s="137" t="s">
        <v>12</v>
      </c>
      <c r="I18" s="137"/>
      <c r="J18" s="137"/>
      <c r="K18" s="86"/>
    </row>
    <row r="19" spans="1:11" ht="12" customHeight="1" x14ac:dyDescent="0.2">
      <c r="A19" s="84" t="s">
        <v>13</v>
      </c>
      <c r="B19" s="135"/>
      <c r="C19" s="134" t="s">
        <v>14</v>
      </c>
      <c r="D19" s="134"/>
      <c r="E19" s="134"/>
      <c r="F19" s="134"/>
      <c r="G19" s="135"/>
      <c r="H19" s="137"/>
      <c r="I19" s="137"/>
      <c r="J19" s="137"/>
      <c r="K19" s="86"/>
    </row>
    <row r="20" spans="1:11" ht="12" customHeight="1" x14ac:dyDescent="0.2">
      <c r="A20" s="89" t="s">
        <v>154</v>
      </c>
      <c r="B20" s="3"/>
      <c r="C20" s="273" t="s">
        <v>154</v>
      </c>
      <c r="D20" s="274"/>
      <c r="E20" s="274"/>
      <c r="F20" s="274"/>
      <c r="G20" s="275"/>
      <c r="H20" s="142" t="s">
        <v>62</v>
      </c>
      <c r="I20" s="247" t="s">
        <v>166</v>
      </c>
      <c r="J20" s="247"/>
      <c r="K20" s="219"/>
    </row>
    <row r="21" spans="1:11" ht="12" customHeight="1" x14ac:dyDescent="0.2">
      <c r="A21" s="84" t="s">
        <v>15</v>
      </c>
      <c r="B21" s="135"/>
      <c r="C21" s="133" t="s">
        <v>16</v>
      </c>
      <c r="D21" s="134"/>
      <c r="E21" s="134"/>
      <c r="F21" s="134"/>
      <c r="G21" s="135"/>
      <c r="H21" s="7"/>
      <c r="I21" s="260" t="s">
        <v>159</v>
      </c>
      <c r="J21" s="260"/>
      <c r="K21" s="90"/>
    </row>
    <row r="22" spans="1:11" ht="12" customHeight="1" x14ac:dyDescent="0.2">
      <c r="A22" s="83" t="s">
        <v>156</v>
      </c>
      <c r="B22" s="5"/>
      <c r="C22" s="185" t="s">
        <v>157</v>
      </c>
      <c r="D22" s="137"/>
      <c r="E22" s="137"/>
      <c r="F22" s="137"/>
      <c r="G22" s="137"/>
      <c r="H22" s="6"/>
      <c r="I22" s="137"/>
      <c r="J22" s="137"/>
      <c r="K22" s="86"/>
    </row>
    <row r="23" spans="1:11" ht="12" customHeight="1" x14ac:dyDescent="0.2">
      <c r="A23" s="84" t="s">
        <v>17</v>
      </c>
      <c r="B23" s="135"/>
      <c r="C23" s="133" t="s">
        <v>18</v>
      </c>
      <c r="D23" s="134"/>
      <c r="E23" s="134"/>
      <c r="F23" s="134"/>
      <c r="G23" s="135"/>
      <c r="H23" s="137"/>
      <c r="I23" s="137"/>
      <c r="J23" s="137"/>
      <c r="K23" s="86"/>
    </row>
    <row r="24" spans="1:11" ht="12" customHeight="1" x14ac:dyDescent="0.2">
      <c r="A24" s="284" t="s">
        <v>158</v>
      </c>
      <c r="B24" s="285"/>
      <c r="C24" s="184" t="s">
        <v>160</v>
      </c>
      <c r="D24" s="8"/>
      <c r="E24" s="8"/>
      <c r="F24" s="8"/>
      <c r="G24" s="3"/>
      <c r="H24" s="8"/>
      <c r="I24" s="8"/>
      <c r="J24" s="8"/>
      <c r="K24" s="85"/>
    </row>
    <row r="25" spans="1:11" ht="12" customHeight="1" x14ac:dyDescent="0.2">
      <c r="A25" s="83" t="s">
        <v>19</v>
      </c>
      <c r="B25" s="229"/>
      <c r="C25" s="137" t="s">
        <v>20</v>
      </c>
      <c r="D25" s="137"/>
      <c r="E25" s="246" t="s">
        <v>21</v>
      </c>
      <c r="F25" s="246"/>
      <c r="G25" s="246"/>
      <c r="H25" s="137" t="s">
        <v>22</v>
      </c>
      <c r="I25" s="137"/>
      <c r="J25" s="137"/>
      <c r="K25" s="86"/>
    </row>
    <row r="26" spans="1:11" ht="30" customHeight="1" x14ac:dyDescent="0.2">
      <c r="A26" s="239" t="s">
        <v>152</v>
      </c>
      <c r="B26" s="286"/>
      <c r="C26" s="287" t="s">
        <v>161</v>
      </c>
      <c r="D26" s="287"/>
      <c r="E26" s="224"/>
      <c r="F26" s="216">
        <v>70</v>
      </c>
      <c r="G26" s="217"/>
      <c r="H26" s="217" t="s">
        <v>164</v>
      </c>
      <c r="I26" s="217"/>
      <c r="J26" s="217"/>
      <c r="K26" s="218"/>
    </row>
    <row r="27" spans="1:11" ht="14.25" customHeight="1" x14ac:dyDescent="0.2">
      <c r="A27" s="239" t="s">
        <v>155</v>
      </c>
      <c r="B27" s="240"/>
      <c r="C27" s="240"/>
      <c r="D27" s="240"/>
      <c r="E27" s="132"/>
      <c r="F27" s="132" t="s">
        <v>162</v>
      </c>
      <c r="G27" s="132"/>
      <c r="H27" s="247" t="s">
        <v>165</v>
      </c>
      <c r="I27" s="247"/>
      <c r="J27" s="138" t="s">
        <v>176</v>
      </c>
      <c r="K27" s="91"/>
    </row>
    <row r="28" spans="1:11" ht="3" hidden="1" customHeight="1" x14ac:dyDescent="0.2">
      <c r="A28" s="226"/>
      <c r="B28" s="137"/>
      <c r="C28" s="137"/>
      <c r="D28" s="137"/>
      <c r="E28" s="229"/>
      <c r="F28" s="229"/>
      <c r="G28" s="229"/>
      <c r="H28" s="227"/>
      <c r="I28" s="227"/>
      <c r="J28" s="227"/>
      <c r="K28" s="92"/>
    </row>
    <row r="29" spans="1:11" ht="6" hidden="1" customHeight="1" x14ac:dyDescent="0.2">
      <c r="A29" s="226"/>
      <c r="B29" s="137"/>
      <c r="C29" s="137"/>
      <c r="D29" s="137"/>
      <c r="E29" s="229"/>
      <c r="F29" s="229"/>
      <c r="G29" s="229"/>
      <c r="H29" s="227"/>
      <c r="I29" s="227"/>
      <c r="J29" s="227"/>
      <c r="K29" s="92"/>
    </row>
    <row r="30" spans="1:11" ht="12" customHeight="1" x14ac:dyDescent="0.2">
      <c r="A30" s="97" t="s">
        <v>130</v>
      </c>
      <c r="B30" s="98" t="s">
        <v>23</v>
      </c>
      <c r="C30" s="98" t="s">
        <v>24</v>
      </c>
      <c r="D30" s="98" t="s">
        <v>25</v>
      </c>
      <c r="E30" s="237" t="s">
        <v>163</v>
      </c>
      <c r="F30" s="98"/>
      <c r="G30" s="98" t="s">
        <v>131</v>
      </c>
      <c r="H30" s="98" t="s">
        <v>23</v>
      </c>
      <c r="I30" s="98" t="s">
        <v>24</v>
      </c>
      <c r="J30" s="98" t="s">
        <v>25</v>
      </c>
      <c r="K30" s="235" t="s">
        <v>163</v>
      </c>
    </row>
    <row r="31" spans="1:11" ht="12" customHeight="1" x14ac:dyDescent="0.2">
      <c r="A31" s="97"/>
      <c r="B31" s="99" t="s">
        <v>26</v>
      </c>
      <c r="C31" s="99" t="s">
        <v>26</v>
      </c>
      <c r="D31" s="99" t="s">
        <v>26</v>
      </c>
      <c r="E31" s="238"/>
      <c r="F31" s="98"/>
      <c r="G31" s="115"/>
      <c r="H31" s="99" t="s">
        <v>26</v>
      </c>
      <c r="I31" s="99" t="s">
        <v>26</v>
      </c>
      <c r="J31" s="99" t="s">
        <v>26</v>
      </c>
      <c r="K31" s="236"/>
    </row>
    <row r="32" spans="1:11" ht="14.1" customHeight="1" x14ac:dyDescent="0.2">
      <c r="A32" s="93"/>
      <c r="B32" s="465"/>
      <c r="C32" s="465" t="s">
        <v>170</v>
      </c>
      <c r="D32" s="465"/>
      <c r="E32" s="113"/>
      <c r="F32" s="107"/>
      <c r="G32" s="113">
        <v>719176</v>
      </c>
      <c r="H32" s="106">
        <v>419</v>
      </c>
      <c r="I32" s="106">
        <v>25.9</v>
      </c>
      <c r="J32" s="106">
        <v>393.1</v>
      </c>
      <c r="K32" s="94">
        <v>2400</v>
      </c>
    </row>
    <row r="33" spans="1:11" ht="14.1" customHeight="1" x14ac:dyDescent="0.2">
      <c r="A33" s="95">
        <v>719622</v>
      </c>
      <c r="B33" s="108">
        <v>349</v>
      </c>
      <c r="C33" s="108">
        <v>18.5</v>
      </c>
      <c r="D33" s="108">
        <v>330.5</v>
      </c>
      <c r="E33" s="114">
        <v>2400</v>
      </c>
      <c r="F33" s="109"/>
      <c r="G33" s="114">
        <v>719177</v>
      </c>
      <c r="H33" s="108">
        <v>421</v>
      </c>
      <c r="I33" s="108">
        <v>27.9</v>
      </c>
      <c r="J33" s="108">
        <v>393.1</v>
      </c>
      <c r="K33" s="96">
        <v>2400</v>
      </c>
    </row>
    <row r="34" spans="1:11" ht="14.1" customHeight="1" x14ac:dyDescent="0.2">
      <c r="A34" s="93">
        <v>719623</v>
      </c>
      <c r="B34" s="108">
        <v>347</v>
      </c>
      <c r="C34" s="108">
        <v>16.5</v>
      </c>
      <c r="D34" s="108">
        <v>330.5</v>
      </c>
      <c r="E34" s="114">
        <v>2400</v>
      </c>
      <c r="F34" s="109"/>
      <c r="G34" s="114">
        <v>719178</v>
      </c>
      <c r="H34" s="108">
        <v>422</v>
      </c>
      <c r="I34" s="108">
        <v>28.9</v>
      </c>
      <c r="J34" s="108">
        <v>393.1</v>
      </c>
      <c r="K34" s="96">
        <v>2400</v>
      </c>
    </row>
    <row r="35" spans="1:11" ht="14.1" customHeight="1" x14ac:dyDescent="0.2">
      <c r="A35" s="95">
        <v>719624</v>
      </c>
      <c r="B35" s="108">
        <v>350</v>
      </c>
      <c r="C35" s="108">
        <v>19.5</v>
      </c>
      <c r="D35" s="108">
        <v>330.5</v>
      </c>
      <c r="E35" s="114">
        <v>2400</v>
      </c>
      <c r="F35" s="109"/>
      <c r="G35" s="114">
        <v>719179</v>
      </c>
      <c r="H35" s="108">
        <v>418</v>
      </c>
      <c r="I35" s="108">
        <v>24.9</v>
      </c>
      <c r="J35" s="108">
        <v>393.1</v>
      </c>
      <c r="K35" s="96">
        <v>2400</v>
      </c>
    </row>
    <row r="36" spans="1:11" ht="14.1" customHeight="1" x14ac:dyDescent="0.2">
      <c r="A36" s="93">
        <v>719625</v>
      </c>
      <c r="B36" s="108">
        <v>348</v>
      </c>
      <c r="C36" s="108">
        <v>17.5</v>
      </c>
      <c r="D36" s="108">
        <v>330.5</v>
      </c>
      <c r="E36" s="114">
        <v>2400</v>
      </c>
      <c r="F36" s="109"/>
      <c r="G36" s="114">
        <v>719180</v>
      </c>
      <c r="H36" s="108">
        <v>422</v>
      </c>
      <c r="I36" s="108">
        <v>28.9</v>
      </c>
      <c r="J36" s="108">
        <v>393.1</v>
      </c>
      <c r="K36" s="96">
        <v>2400</v>
      </c>
    </row>
    <row r="37" spans="1:11" ht="14.1" customHeight="1" x14ac:dyDescent="0.2">
      <c r="A37" s="95">
        <v>719920</v>
      </c>
      <c r="B37" s="108">
        <v>351</v>
      </c>
      <c r="C37" s="108">
        <v>20.5</v>
      </c>
      <c r="D37" s="108">
        <v>330.5</v>
      </c>
      <c r="E37" s="114">
        <v>2400</v>
      </c>
      <c r="F37" s="109"/>
      <c r="G37" s="114">
        <v>719181</v>
      </c>
      <c r="H37" s="108">
        <v>420</v>
      </c>
      <c r="I37" s="108">
        <v>26.9</v>
      </c>
      <c r="J37" s="108">
        <v>393.1</v>
      </c>
      <c r="K37" s="96">
        <v>2400</v>
      </c>
    </row>
    <row r="38" spans="1:11" ht="14.1" customHeight="1" x14ac:dyDescent="0.2">
      <c r="A38" s="93">
        <v>719921</v>
      </c>
      <c r="B38" s="108">
        <v>351</v>
      </c>
      <c r="C38" s="108">
        <v>20.5</v>
      </c>
      <c r="D38" s="108">
        <v>330.5</v>
      </c>
      <c r="E38" s="114">
        <v>2400</v>
      </c>
      <c r="F38" s="109"/>
      <c r="G38" s="114">
        <v>719182</v>
      </c>
      <c r="H38" s="108">
        <v>419</v>
      </c>
      <c r="I38" s="108">
        <v>25.9</v>
      </c>
      <c r="J38" s="108">
        <v>393.1</v>
      </c>
      <c r="K38" s="96">
        <v>2400</v>
      </c>
    </row>
    <row r="39" spans="1:11" ht="14.1" customHeight="1" x14ac:dyDescent="0.2">
      <c r="A39" s="95">
        <v>719922</v>
      </c>
      <c r="B39" s="108">
        <v>347</v>
      </c>
      <c r="C39" s="108">
        <v>16.5</v>
      </c>
      <c r="D39" s="108">
        <v>330.5</v>
      </c>
      <c r="E39" s="114">
        <v>2400</v>
      </c>
      <c r="F39" s="109"/>
      <c r="G39" s="114">
        <v>719183</v>
      </c>
      <c r="H39" s="108">
        <v>422</v>
      </c>
      <c r="I39" s="108">
        <v>28.9</v>
      </c>
      <c r="J39" s="108">
        <v>393.1</v>
      </c>
      <c r="K39" s="96">
        <v>2400</v>
      </c>
    </row>
    <row r="40" spans="1:11" ht="14.1" customHeight="1" x14ac:dyDescent="0.2">
      <c r="A40" s="93">
        <v>719923</v>
      </c>
      <c r="B40" s="108">
        <v>351</v>
      </c>
      <c r="C40" s="108">
        <v>20.5</v>
      </c>
      <c r="D40" s="108">
        <v>330.5</v>
      </c>
      <c r="E40" s="114">
        <v>2400</v>
      </c>
      <c r="F40" s="109"/>
      <c r="G40" s="114">
        <v>719184</v>
      </c>
      <c r="H40" s="108">
        <v>421</v>
      </c>
      <c r="I40" s="108">
        <v>27.9</v>
      </c>
      <c r="J40" s="108">
        <v>393.1</v>
      </c>
      <c r="K40" s="96">
        <v>2400</v>
      </c>
    </row>
    <row r="41" spans="1:11" ht="14.1" customHeight="1" x14ac:dyDescent="0.2">
      <c r="A41" s="95">
        <v>719924</v>
      </c>
      <c r="B41" s="108">
        <v>348</v>
      </c>
      <c r="C41" s="108">
        <v>17.5</v>
      </c>
      <c r="D41" s="108">
        <v>330.5</v>
      </c>
      <c r="E41" s="114">
        <v>2400</v>
      </c>
      <c r="F41" s="109"/>
      <c r="G41" s="114">
        <v>719185</v>
      </c>
      <c r="H41" s="108">
        <v>418</v>
      </c>
      <c r="I41" s="108">
        <v>24.9</v>
      </c>
      <c r="J41" s="108">
        <v>393.1</v>
      </c>
      <c r="K41" s="96">
        <v>2400</v>
      </c>
    </row>
    <row r="42" spans="1:11" ht="14.1" customHeight="1" x14ac:dyDescent="0.2">
      <c r="A42" s="93">
        <v>719925</v>
      </c>
      <c r="B42" s="108">
        <v>350</v>
      </c>
      <c r="C42" s="108">
        <v>19.5</v>
      </c>
      <c r="D42" s="108">
        <v>330.5</v>
      </c>
      <c r="E42" s="114">
        <v>2400</v>
      </c>
      <c r="F42" s="109"/>
      <c r="G42" s="114">
        <v>719186</v>
      </c>
      <c r="H42" s="108">
        <v>420</v>
      </c>
      <c r="I42" s="108">
        <v>26.9</v>
      </c>
      <c r="J42" s="108">
        <v>393.1</v>
      </c>
      <c r="K42" s="96">
        <v>2400</v>
      </c>
    </row>
    <row r="43" spans="1:11" ht="14.1" customHeight="1" x14ac:dyDescent="0.2">
      <c r="A43" s="95">
        <v>719926</v>
      </c>
      <c r="B43" s="108">
        <v>349</v>
      </c>
      <c r="C43" s="108">
        <v>18.5</v>
      </c>
      <c r="D43" s="108">
        <v>330.5</v>
      </c>
      <c r="E43" s="114">
        <v>2400</v>
      </c>
      <c r="F43" s="109"/>
      <c r="G43" s="114">
        <v>719187</v>
      </c>
      <c r="H43" s="108">
        <v>419</v>
      </c>
      <c r="I43" s="108">
        <v>25.9</v>
      </c>
      <c r="J43" s="108">
        <v>393.1</v>
      </c>
      <c r="K43" s="96">
        <v>2400</v>
      </c>
    </row>
    <row r="44" spans="1:11" ht="14.1" customHeight="1" x14ac:dyDescent="0.2">
      <c r="A44" s="93">
        <v>719927</v>
      </c>
      <c r="B44" s="108">
        <v>351</v>
      </c>
      <c r="C44" s="108">
        <v>20.5</v>
      </c>
      <c r="D44" s="108">
        <v>330.5</v>
      </c>
      <c r="E44" s="114">
        <v>2400</v>
      </c>
      <c r="F44" s="109"/>
      <c r="G44" s="114">
        <v>719188</v>
      </c>
      <c r="H44" s="108">
        <v>422</v>
      </c>
      <c r="I44" s="108">
        <v>28.9</v>
      </c>
      <c r="J44" s="108">
        <v>393.1</v>
      </c>
      <c r="K44" s="96">
        <v>2400</v>
      </c>
    </row>
    <row r="45" spans="1:11" ht="14.1" customHeight="1" x14ac:dyDescent="0.2">
      <c r="A45" s="95">
        <v>719928</v>
      </c>
      <c r="B45" s="108">
        <v>347</v>
      </c>
      <c r="C45" s="108">
        <v>16.5</v>
      </c>
      <c r="D45" s="108">
        <v>330.5</v>
      </c>
      <c r="E45" s="114">
        <v>2400</v>
      </c>
      <c r="F45" s="109"/>
      <c r="G45" s="114">
        <v>719189</v>
      </c>
      <c r="H45" s="108">
        <v>421</v>
      </c>
      <c r="I45" s="108">
        <v>27.9</v>
      </c>
      <c r="J45" s="108">
        <v>393.1</v>
      </c>
      <c r="K45" s="96">
        <v>2400</v>
      </c>
    </row>
    <row r="46" spans="1:11" ht="14.1" customHeight="1" x14ac:dyDescent="0.2">
      <c r="A46" s="93">
        <v>719929</v>
      </c>
      <c r="B46" s="108">
        <v>349</v>
      </c>
      <c r="C46" s="108">
        <v>18.5</v>
      </c>
      <c r="D46" s="108">
        <v>330.5</v>
      </c>
      <c r="E46" s="114">
        <v>2400</v>
      </c>
      <c r="F46" s="109"/>
      <c r="G46" s="114">
        <v>719190</v>
      </c>
      <c r="H46" s="108">
        <v>418</v>
      </c>
      <c r="I46" s="108">
        <v>24.9</v>
      </c>
      <c r="J46" s="108">
        <v>393.1</v>
      </c>
      <c r="K46" s="96">
        <v>2400</v>
      </c>
    </row>
    <row r="47" spans="1:11" ht="14.1" customHeight="1" x14ac:dyDescent="0.2">
      <c r="A47" s="95">
        <v>719930</v>
      </c>
      <c r="B47" s="108">
        <v>348</v>
      </c>
      <c r="C47" s="108">
        <v>17.5</v>
      </c>
      <c r="D47" s="108">
        <v>330.5</v>
      </c>
      <c r="E47" s="114">
        <v>2400</v>
      </c>
      <c r="F47" s="109"/>
      <c r="G47" s="114">
        <v>719191</v>
      </c>
      <c r="H47" s="108">
        <v>422</v>
      </c>
      <c r="I47" s="108">
        <v>28.9</v>
      </c>
      <c r="J47" s="108">
        <v>393.1</v>
      </c>
      <c r="K47" s="96">
        <v>2400</v>
      </c>
    </row>
    <row r="48" spans="1:11" ht="14.1" customHeight="1" x14ac:dyDescent="0.2">
      <c r="A48" s="93">
        <v>719931</v>
      </c>
      <c r="B48" s="108">
        <v>351</v>
      </c>
      <c r="C48" s="108">
        <v>20.5</v>
      </c>
      <c r="D48" s="108">
        <v>330.5</v>
      </c>
      <c r="E48" s="114">
        <v>2400</v>
      </c>
      <c r="F48" s="109"/>
      <c r="G48" s="114">
        <v>719192</v>
      </c>
      <c r="H48" s="108">
        <v>419</v>
      </c>
      <c r="I48" s="108">
        <v>25.9</v>
      </c>
      <c r="J48" s="108">
        <v>393.1</v>
      </c>
      <c r="K48" s="96">
        <v>2400</v>
      </c>
    </row>
    <row r="49" spans="1:14" ht="14.1" customHeight="1" x14ac:dyDescent="0.2">
      <c r="A49" s="95">
        <v>719932</v>
      </c>
      <c r="B49" s="108">
        <v>350</v>
      </c>
      <c r="C49" s="108">
        <v>19.5</v>
      </c>
      <c r="D49" s="108">
        <v>330.5</v>
      </c>
      <c r="E49" s="114">
        <v>2400</v>
      </c>
      <c r="F49" s="109"/>
      <c r="G49" s="114">
        <v>719580</v>
      </c>
      <c r="H49" s="108">
        <v>421</v>
      </c>
      <c r="I49" s="108">
        <v>27.9</v>
      </c>
      <c r="J49" s="108">
        <v>393.1</v>
      </c>
      <c r="K49" s="96">
        <v>2400</v>
      </c>
    </row>
    <row r="50" spans="1:14" ht="14.1" customHeight="1" x14ac:dyDescent="0.2">
      <c r="A50" s="93">
        <v>719933</v>
      </c>
      <c r="B50" s="108">
        <v>347</v>
      </c>
      <c r="C50" s="108">
        <v>16.5</v>
      </c>
      <c r="D50" s="108">
        <v>330.5</v>
      </c>
      <c r="E50" s="114">
        <v>2400</v>
      </c>
      <c r="F50" s="109"/>
      <c r="G50" s="114">
        <v>719581</v>
      </c>
      <c r="H50" s="108">
        <v>420</v>
      </c>
      <c r="I50" s="108">
        <v>26.9</v>
      </c>
      <c r="J50" s="108">
        <v>393.1</v>
      </c>
      <c r="K50" s="96">
        <v>2400</v>
      </c>
    </row>
    <row r="51" spans="1:14" ht="14.1" customHeight="1" x14ac:dyDescent="0.2">
      <c r="A51" s="95">
        <v>719934</v>
      </c>
      <c r="B51" s="108">
        <v>350</v>
      </c>
      <c r="C51" s="108">
        <v>19.5</v>
      </c>
      <c r="D51" s="108">
        <v>330.5</v>
      </c>
      <c r="E51" s="114">
        <v>2400</v>
      </c>
      <c r="F51" s="109"/>
      <c r="G51" s="114">
        <v>719582</v>
      </c>
      <c r="H51" s="108">
        <v>418</v>
      </c>
      <c r="I51" s="108">
        <v>24.9</v>
      </c>
      <c r="J51" s="108">
        <v>393.1</v>
      </c>
      <c r="K51" s="96">
        <v>2400</v>
      </c>
    </row>
    <row r="52" spans="1:14" ht="14.1" customHeight="1" x14ac:dyDescent="0.2">
      <c r="A52" s="93">
        <v>719935</v>
      </c>
      <c r="B52" s="108">
        <v>349</v>
      </c>
      <c r="C52" s="108">
        <v>18.5</v>
      </c>
      <c r="D52" s="108">
        <v>330.5</v>
      </c>
      <c r="E52" s="114">
        <v>2400</v>
      </c>
      <c r="F52" s="109"/>
      <c r="G52" s="467" t="s">
        <v>171</v>
      </c>
      <c r="H52" s="466">
        <v>16802</v>
      </c>
      <c r="I52" s="466">
        <v>1078</v>
      </c>
      <c r="J52" s="466">
        <v>15724</v>
      </c>
      <c r="K52" s="468">
        <v>96000</v>
      </c>
    </row>
    <row r="53" spans="1:14" ht="14.1" customHeight="1" x14ac:dyDescent="0.2">
      <c r="A53" s="95">
        <v>719936</v>
      </c>
      <c r="B53" s="108">
        <v>348</v>
      </c>
      <c r="C53" s="108">
        <v>17.5</v>
      </c>
      <c r="D53" s="108">
        <v>330.5</v>
      </c>
      <c r="E53" s="114">
        <v>2400</v>
      </c>
      <c r="F53" s="109"/>
      <c r="G53" s="114"/>
      <c r="H53" s="108"/>
      <c r="I53" s="108"/>
      <c r="J53" s="108"/>
      <c r="K53" s="96"/>
    </row>
    <row r="54" spans="1:14" ht="14.1" customHeight="1" x14ac:dyDescent="0.2">
      <c r="A54" s="93">
        <v>719937</v>
      </c>
      <c r="B54" s="108">
        <v>351</v>
      </c>
      <c r="C54" s="108">
        <v>20.5</v>
      </c>
      <c r="D54" s="108">
        <v>330.5</v>
      </c>
      <c r="E54" s="114">
        <v>2400</v>
      </c>
      <c r="F54" s="109"/>
      <c r="G54" s="114"/>
      <c r="H54" s="108"/>
      <c r="I54" s="108"/>
      <c r="J54" s="108"/>
      <c r="K54" s="96"/>
    </row>
    <row r="55" spans="1:14" ht="14.1" customHeight="1" x14ac:dyDescent="0.2">
      <c r="A55" s="95">
        <v>719938</v>
      </c>
      <c r="B55" s="108">
        <v>347</v>
      </c>
      <c r="C55" s="108">
        <v>16.5</v>
      </c>
      <c r="D55" s="108">
        <v>330.5</v>
      </c>
      <c r="E55" s="114">
        <v>2400</v>
      </c>
      <c r="F55" s="109"/>
      <c r="G55" s="114"/>
      <c r="H55" s="108"/>
      <c r="I55" s="108"/>
      <c r="J55" s="108"/>
      <c r="K55" s="96"/>
    </row>
    <row r="56" spans="1:14" ht="14.1" customHeight="1" x14ac:dyDescent="0.2">
      <c r="A56" s="93">
        <v>719939</v>
      </c>
      <c r="B56" s="108">
        <v>351</v>
      </c>
      <c r="C56" s="108">
        <v>20.5</v>
      </c>
      <c r="D56" s="108">
        <v>330.5</v>
      </c>
      <c r="E56" s="114">
        <v>2400</v>
      </c>
      <c r="F56" s="109"/>
      <c r="G56" s="114"/>
      <c r="H56" s="108"/>
      <c r="I56" s="108"/>
      <c r="J56" s="108"/>
      <c r="K56" s="96"/>
    </row>
    <row r="57" spans="1:14" ht="14.1" customHeight="1" x14ac:dyDescent="0.2">
      <c r="A57" s="95">
        <v>719940</v>
      </c>
      <c r="B57" s="108">
        <v>349</v>
      </c>
      <c r="C57" s="108">
        <v>18.5</v>
      </c>
      <c r="D57" s="108">
        <v>330.5</v>
      </c>
      <c r="E57" s="114">
        <v>2400</v>
      </c>
      <c r="F57" s="109"/>
      <c r="G57" s="114"/>
      <c r="H57" s="108"/>
      <c r="I57" s="108"/>
      <c r="J57" s="108"/>
      <c r="K57" s="96"/>
    </row>
    <row r="58" spans="1:14" ht="14.1" customHeight="1" x14ac:dyDescent="0.2">
      <c r="A58" s="93">
        <v>719941</v>
      </c>
      <c r="B58" s="108">
        <v>348</v>
      </c>
      <c r="C58" s="108">
        <v>17.5</v>
      </c>
      <c r="D58" s="108">
        <v>330.5</v>
      </c>
      <c r="E58" s="114">
        <v>2400</v>
      </c>
      <c r="F58" s="109"/>
      <c r="G58" s="114"/>
      <c r="H58" s="108"/>
      <c r="I58" s="108"/>
      <c r="J58" s="108"/>
      <c r="K58" s="96"/>
    </row>
    <row r="59" spans="1:14" ht="14.1" customHeight="1" x14ac:dyDescent="0.2">
      <c r="A59" s="95">
        <v>719942</v>
      </c>
      <c r="B59" s="108">
        <v>350</v>
      </c>
      <c r="C59" s="108">
        <v>19.5</v>
      </c>
      <c r="D59" s="108">
        <v>330.5</v>
      </c>
      <c r="E59" s="114">
        <v>2400</v>
      </c>
      <c r="F59" s="109"/>
      <c r="G59" s="114"/>
      <c r="H59" s="108"/>
      <c r="I59" s="108"/>
      <c r="J59" s="108"/>
      <c r="K59" s="96"/>
    </row>
    <row r="60" spans="1:14" ht="14.1" customHeight="1" x14ac:dyDescent="0.2">
      <c r="A60" s="93">
        <v>720135</v>
      </c>
      <c r="B60" s="108">
        <v>347</v>
      </c>
      <c r="C60" s="108">
        <v>16.5</v>
      </c>
      <c r="D60" s="108">
        <v>330.5</v>
      </c>
      <c r="E60" s="114">
        <v>2400</v>
      </c>
      <c r="F60" s="109"/>
      <c r="G60" s="114"/>
      <c r="H60" s="108"/>
      <c r="I60" s="108"/>
      <c r="J60" s="108"/>
      <c r="K60" s="96"/>
    </row>
    <row r="61" spans="1:14" ht="14.1" customHeight="1" x14ac:dyDescent="0.2">
      <c r="A61" s="93">
        <v>720846</v>
      </c>
      <c r="B61" s="108">
        <v>349</v>
      </c>
      <c r="C61" s="108">
        <v>18.5</v>
      </c>
      <c r="D61" s="108">
        <v>330.5</v>
      </c>
      <c r="E61" s="114">
        <v>2400</v>
      </c>
      <c r="F61" s="109"/>
      <c r="G61" s="114"/>
      <c r="H61" s="108"/>
      <c r="I61" s="108"/>
      <c r="J61" s="108"/>
      <c r="K61" s="96"/>
    </row>
    <row r="62" spans="1:14" ht="14.1" customHeight="1" x14ac:dyDescent="0.2">
      <c r="A62" s="93">
        <v>720847</v>
      </c>
      <c r="B62" s="108">
        <v>347</v>
      </c>
      <c r="C62" s="108">
        <v>16.5</v>
      </c>
      <c r="D62" s="108">
        <v>330.5</v>
      </c>
      <c r="E62" s="114">
        <v>2400</v>
      </c>
      <c r="F62" s="109"/>
      <c r="G62" s="114"/>
      <c r="H62" s="108"/>
      <c r="I62" s="108"/>
      <c r="J62" s="108"/>
      <c r="K62" s="103"/>
      <c r="L62" s="2"/>
    </row>
    <row r="63" spans="1:14" ht="14.1" customHeight="1" x14ac:dyDescent="0.2">
      <c r="A63" s="97" t="s">
        <v>171</v>
      </c>
      <c r="B63" s="466">
        <v>10470</v>
      </c>
      <c r="C63" s="466">
        <v>555</v>
      </c>
      <c r="D63" s="466">
        <v>9915</v>
      </c>
      <c r="E63" s="467">
        <v>72000</v>
      </c>
      <c r="F63" s="110"/>
      <c r="G63" s="116"/>
      <c r="H63" s="107" t="s">
        <v>62</v>
      </c>
      <c r="I63" s="107" t="s">
        <v>62</v>
      </c>
      <c r="J63" s="107" t="s">
        <v>62</v>
      </c>
      <c r="K63" s="104" t="s">
        <v>62</v>
      </c>
      <c r="L63" s="2"/>
      <c r="M63" s="10"/>
      <c r="N63" s="4"/>
    </row>
    <row r="64" spans="1:14" ht="14.1" customHeight="1" x14ac:dyDescent="0.2">
      <c r="A64" s="97"/>
      <c r="B64" s="466"/>
      <c r="C64" s="466" t="s">
        <v>172</v>
      </c>
      <c r="D64" s="466"/>
      <c r="E64" s="467"/>
      <c r="F64" s="110"/>
      <c r="G64" s="117"/>
      <c r="H64" s="108" t="s">
        <v>62</v>
      </c>
      <c r="I64" s="108" t="s">
        <v>62</v>
      </c>
      <c r="J64" s="108" t="s">
        <v>62</v>
      </c>
      <c r="K64" s="103" t="s">
        <v>62</v>
      </c>
      <c r="L64" s="2"/>
      <c r="M64" s="10"/>
      <c r="N64" s="4"/>
    </row>
    <row r="65" spans="1:17" ht="14.1" customHeight="1" x14ac:dyDescent="0.2">
      <c r="A65" s="93">
        <v>719156</v>
      </c>
      <c r="B65" s="108">
        <v>418</v>
      </c>
      <c r="C65" s="108">
        <v>24.9</v>
      </c>
      <c r="D65" s="108">
        <v>393.1</v>
      </c>
      <c r="E65" s="114">
        <v>2400</v>
      </c>
      <c r="F65" s="110"/>
      <c r="G65" s="117"/>
      <c r="H65" s="108"/>
      <c r="I65" s="108"/>
      <c r="J65" s="108"/>
      <c r="K65" s="96"/>
    </row>
    <row r="66" spans="1:17" ht="14.1" customHeight="1" x14ac:dyDescent="0.2">
      <c r="A66" s="93">
        <v>719157</v>
      </c>
      <c r="B66" s="108">
        <v>420</v>
      </c>
      <c r="C66" s="108">
        <v>26.9</v>
      </c>
      <c r="D66" s="108">
        <v>393.1</v>
      </c>
      <c r="E66" s="114">
        <v>2400</v>
      </c>
      <c r="F66" s="110"/>
      <c r="G66" s="117"/>
      <c r="H66" s="108"/>
      <c r="I66" s="108"/>
      <c r="J66" s="108"/>
      <c r="K66" s="96"/>
      <c r="L66" s="4"/>
      <c r="M66" s="4"/>
      <c r="N66" s="4"/>
      <c r="O66" s="4"/>
      <c r="P66" s="4"/>
      <c r="Q66" s="4"/>
    </row>
    <row r="67" spans="1:17" ht="14.1" customHeight="1" x14ac:dyDescent="0.2">
      <c r="A67" s="93">
        <v>719158</v>
      </c>
      <c r="B67" s="108">
        <v>419</v>
      </c>
      <c r="C67" s="108">
        <v>25.9</v>
      </c>
      <c r="D67" s="108">
        <v>393.1</v>
      </c>
      <c r="E67" s="114">
        <v>2400</v>
      </c>
      <c r="F67" s="110"/>
      <c r="G67" s="117"/>
      <c r="H67" s="108"/>
      <c r="I67" s="108"/>
      <c r="J67" s="108"/>
      <c r="K67" s="96"/>
      <c r="L67" s="4"/>
      <c r="M67" s="4"/>
      <c r="N67" s="4"/>
      <c r="O67" s="4"/>
      <c r="P67" s="4"/>
      <c r="Q67" s="4"/>
    </row>
    <row r="68" spans="1:17" ht="14.1" customHeight="1" x14ac:dyDescent="0.2">
      <c r="A68" s="93">
        <v>719159</v>
      </c>
      <c r="B68" s="108">
        <v>421</v>
      </c>
      <c r="C68" s="108">
        <v>27.9</v>
      </c>
      <c r="D68" s="108">
        <v>393.1</v>
      </c>
      <c r="E68" s="114">
        <v>2400</v>
      </c>
      <c r="F68" s="110"/>
      <c r="G68" s="117"/>
      <c r="H68" s="108"/>
      <c r="I68" s="108"/>
      <c r="J68" s="108"/>
      <c r="K68" s="96"/>
      <c r="L68" s="4"/>
      <c r="M68" s="4"/>
      <c r="N68" s="4"/>
      <c r="O68" s="4"/>
      <c r="P68" s="4"/>
      <c r="Q68" s="4"/>
    </row>
    <row r="69" spans="1:17" ht="14.1" customHeight="1" x14ac:dyDescent="0.2">
      <c r="A69" s="93">
        <v>719160</v>
      </c>
      <c r="B69" s="108">
        <v>419</v>
      </c>
      <c r="C69" s="108">
        <v>25.9</v>
      </c>
      <c r="D69" s="108">
        <v>393.1</v>
      </c>
      <c r="E69" s="114">
        <v>2400</v>
      </c>
      <c r="F69" s="110"/>
      <c r="G69" s="117"/>
      <c r="H69" s="108"/>
      <c r="I69" s="108"/>
      <c r="J69" s="108"/>
      <c r="K69" s="96"/>
      <c r="L69" s="4"/>
      <c r="M69" s="4"/>
      <c r="N69" s="4"/>
      <c r="O69" s="4"/>
      <c r="P69" s="4"/>
      <c r="Q69" s="4"/>
    </row>
    <row r="70" spans="1:17" ht="14.1" customHeight="1" x14ac:dyDescent="0.2">
      <c r="A70" s="93">
        <v>719161</v>
      </c>
      <c r="B70" s="108">
        <v>422</v>
      </c>
      <c r="C70" s="108">
        <v>28.9</v>
      </c>
      <c r="D70" s="108">
        <v>393.1</v>
      </c>
      <c r="E70" s="114">
        <v>2400</v>
      </c>
      <c r="F70" s="110"/>
      <c r="G70" s="117"/>
      <c r="H70" s="108"/>
      <c r="I70" s="108"/>
      <c r="J70" s="108"/>
      <c r="K70" s="96"/>
      <c r="L70" s="4"/>
      <c r="M70" s="4"/>
      <c r="N70" s="4"/>
      <c r="O70" s="4"/>
      <c r="P70" s="4"/>
      <c r="Q70" s="4"/>
    </row>
    <row r="71" spans="1:17" ht="14.1" customHeight="1" x14ac:dyDescent="0.2">
      <c r="A71" s="93">
        <v>719162</v>
      </c>
      <c r="B71" s="108">
        <v>418</v>
      </c>
      <c r="C71" s="108">
        <v>24.9</v>
      </c>
      <c r="D71" s="108">
        <v>393.1</v>
      </c>
      <c r="E71" s="114">
        <v>2400</v>
      </c>
      <c r="F71" s="110"/>
      <c r="G71" s="117"/>
      <c r="H71" s="108"/>
      <c r="I71" s="108"/>
      <c r="J71" s="108"/>
      <c r="K71" s="96"/>
      <c r="L71" s="79"/>
      <c r="M71" s="79"/>
      <c r="N71" s="79"/>
      <c r="O71" s="4"/>
      <c r="P71" s="4"/>
      <c r="Q71" s="4"/>
    </row>
    <row r="72" spans="1:17" ht="14.1" customHeight="1" x14ac:dyDescent="0.2">
      <c r="A72" s="93">
        <v>719163</v>
      </c>
      <c r="B72" s="108">
        <v>421</v>
      </c>
      <c r="C72" s="108">
        <v>27.9</v>
      </c>
      <c r="D72" s="108">
        <v>393.1</v>
      </c>
      <c r="E72" s="114">
        <v>2400</v>
      </c>
      <c r="F72" s="110"/>
      <c r="G72" s="117"/>
      <c r="H72" s="108"/>
      <c r="I72" s="108"/>
      <c r="J72" s="108"/>
      <c r="K72" s="96"/>
      <c r="L72" s="79"/>
      <c r="M72" s="79"/>
      <c r="N72" s="79"/>
      <c r="O72" s="4"/>
      <c r="P72" s="4"/>
      <c r="Q72" s="4"/>
    </row>
    <row r="73" spans="1:17" ht="14.1" customHeight="1" x14ac:dyDescent="0.2">
      <c r="A73" s="93">
        <v>719164</v>
      </c>
      <c r="B73" s="108">
        <v>420</v>
      </c>
      <c r="C73" s="108">
        <v>26.9</v>
      </c>
      <c r="D73" s="108">
        <v>393.1</v>
      </c>
      <c r="E73" s="114">
        <v>2400</v>
      </c>
      <c r="F73" s="110"/>
      <c r="G73" s="117"/>
      <c r="H73" s="108"/>
      <c r="I73" s="108"/>
      <c r="J73" s="108"/>
      <c r="K73" s="96"/>
      <c r="L73" s="79"/>
      <c r="M73" s="79"/>
      <c r="N73" s="79"/>
      <c r="O73" s="4"/>
      <c r="P73" s="4"/>
      <c r="Q73" s="4"/>
    </row>
    <row r="74" spans="1:17" ht="14.1" customHeight="1" x14ac:dyDescent="0.2">
      <c r="A74" s="93">
        <v>719165</v>
      </c>
      <c r="B74" s="108">
        <v>419</v>
      </c>
      <c r="C74" s="108">
        <v>25.9</v>
      </c>
      <c r="D74" s="108">
        <v>393.1</v>
      </c>
      <c r="E74" s="114">
        <v>2400</v>
      </c>
      <c r="F74" s="110"/>
      <c r="G74" s="117"/>
      <c r="H74" s="108"/>
      <c r="I74" s="108"/>
      <c r="J74" s="108"/>
      <c r="K74" s="96"/>
      <c r="L74" s="79"/>
      <c r="M74" s="79"/>
      <c r="N74" s="79"/>
      <c r="O74" s="4"/>
      <c r="P74" s="4"/>
      <c r="Q74" s="4"/>
    </row>
    <row r="75" spans="1:17" ht="14.1" customHeight="1" x14ac:dyDescent="0.2">
      <c r="A75" s="93">
        <v>719166</v>
      </c>
      <c r="B75" s="108">
        <v>422</v>
      </c>
      <c r="C75" s="108">
        <v>28.9</v>
      </c>
      <c r="D75" s="108">
        <v>393.1</v>
      </c>
      <c r="E75" s="114">
        <v>2400</v>
      </c>
      <c r="F75" s="110"/>
      <c r="G75" s="117"/>
      <c r="H75" s="108"/>
      <c r="I75" s="108"/>
      <c r="J75" s="108"/>
      <c r="K75" s="96"/>
      <c r="L75" s="4"/>
      <c r="M75" s="79"/>
      <c r="N75" s="4"/>
      <c r="O75" s="4"/>
      <c r="P75" s="4"/>
      <c r="Q75" s="4"/>
    </row>
    <row r="76" spans="1:17" ht="14.1" customHeight="1" x14ac:dyDescent="0.2">
      <c r="A76" s="93">
        <v>719167</v>
      </c>
      <c r="B76" s="108">
        <v>418</v>
      </c>
      <c r="C76" s="108">
        <v>24.9</v>
      </c>
      <c r="D76" s="108">
        <v>393.1</v>
      </c>
      <c r="E76" s="114">
        <v>2400</v>
      </c>
      <c r="F76" s="110"/>
      <c r="G76" s="117"/>
      <c r="H76" s="108"/>
      <c r="I76" s="108"/>
      <c r="J76" s="108"/>
      <c r="K76" s="96"/>
      <c r="L76" s="4"/>
      <c r="M76" s="79"/>
      <c r="N76" s="4"/>
      <c r="O76" s="4"/>
      <c r="P76" s="4"/>
      <c r="Q76" s="4"/>
    </row>
    <row r="77" spans="1:17" ht="14.1" customHeight="1" x14ac:dyDescent="0.2">
      <c r="A77" s="93">
        <v>719168</v>
      </c>
      <c r="B77" s="108">
        <v>420</v>
      </c>
      <c r="C77" s="108">
        <v>26.9</v>
      </c>
      <c r="D77" s="108">
        <v>393.1</v>
      </c>
      <c r="E77" s="114">
        <v>2400</v>
      </c>
      <c r="F77" s="111"/>
      <c r="G77" s="105"/>
      <c r="H77" s="108"/>
      <c r="I77" s="108"/>
      <c r="J77" s="108"/>
      <c r="K77" s="96"/>
      <c r="L77" s="4"/>
      <c r="M77" s="79"/>
      <c r="N77" s="4"/>
      <c r="O77" s="4"/>
      <c r="P77" s="4"/>
      <c r="Q77" s="4"/>
    </row>
    <row r="78" spans="1:17" ht="14.1" customHeight="1" x14ac:dyDescent="0.2">
      <c r="A78" s="93">
        <v>719169</v>
      </c>
      <c r="B78" s="108">
        <v>421</v>
      </c>
      <c r="C78" s="108">
        <v>27.9</v>
      </c>
      <c r="D78" s="108">
        <v>393.1</v>
      </c>
      <c r="E78" s="114">
        <v>2400</v>
      </c>
      <c r="F78" s="111"/>
      <c r="G78" s="105"/>
      <c r="H78" s="108"/>
      <c r="I78" s="108"/>
      <c r="J78" s="108"/>
      <c r="K78" s="96"/>
      <c r="L78" s="4"/>
      <c r="M78" s="4"/>
      <c r="N78" s="4"/>
      <c r="O78" s="4"/>
      <c r="P78" s="4"/>
      <c r="Q78" s="4"/>
    </row>
    <row r="79" spans="1:17" ht="14.1" customHeight="1" x14ac:dyDescent="0.2">
      <c r="A79" s="93">
        <v>719170</v>
      </c>
      <c r="B79" s="108">
        <v>419</v>
      </c>
      <c r="C79" s="108">
        <v>25.9</v>
      </c>
      <c r="D79" s="108">
        <v>393.1</v>
      </c>
      <c r="E79" s="114">
        <v>2400</v>
      </c>
      <c r="F79" s="112"/>
      <c r="G79" s="118"/>
      <c r="H79" s="108"/>
      <c r="I79" s="108"/>
      <c r="J79" s="108"/>
      <c r="K79" s="96"/>
      <c r="L79" s="4"/>
      <c r="M79" s="4"/>
      <c r="N79" s="4"/>
      <c r="O79" s="4"/>
      <c r="P79" s="4"/>
      <c r="Q79" s="4"/>
    </row>
    <row r="80" spans="1:17" ht="14.1" customHeight="1" x14ac:dyDescent="0.2">
      <c r="A80" s="93">
        <v>719171</v>
      </c>
      <c r="B80" s="108">
        <v>422</v>
      </c>
      <c r="C80" s="108">
        <v>28.9</v>
      </c>
      <c r="D80" s="108">
        <v>393.1</v>
      </c>
      <c r="E80" s="114">
        <v>2400</v>
      </c>
      <c r="F80" s="110"/>
      <c r="G80" s="117"/>
      <c r="H80" s="108"/>
      <c r="I80" s="108"/>
      <c r="J80" s="108"/>
      <c r="K80" s="96"/>
      <c r="L80" s="4"/>
      <c r="M80" s="4"/>
      <c r="N80" s="4"/>
      <c r="O80" s="4"/>
      <c r="P80" s="4"/>
      <c r="Q80" s="4"/>
    </row>
    <row r="81" spans="1:17" ht="14.1" customHeight="1" x14ac:dyDescent="0.2">
      <c r="A81" s="93">
        <v>719172</v>
      </c>
      <c r="B81" s="108">
        <v>422</v>
      </c>
      <c r="C81" s="108">
        <v>28.9</v>
      </c>
      <c r="D81" s="108">
        <v>393.1</v>
      </c>
      <c r="E81" s="114">
        <v>2400</v>
      </c>
      <c r="F81" s="110"/>
      <c r="G81" s="117"/>
      <c r="H81" s="108"/>
      <c r="I81" s="108"/>
      <c r="J81" s="108"/>
      <c r="K81" s="96"/>
      <c r="L81" s="4"/>
      <c r="M81" s="4"/>
      <c r="N81" s="4"/>
      <c r="O81" s="4"/>
      <c r="P81" s="4"/>
      <c r="Q81" s="4"/>
    </row>
    <row r="82" spans="1:17" ht="14.1" customHeight="1" x14ac:dyDescent="0.2">
      <c r="A82" s="93">
        <v>719173</v>
      </c>
      <c r="B82" s="108">
        <v>418</v>
      </c>
      <c r="C82" s="108">
        <v>24.9</v>
      </c>
      <c r="D82" s="108">
        <v>393.1</v>
      </c>
      <c r="E82" s="114">
        <v>2400</v>
      </c>
      <c r="F82" s="110"/>
      <c r="G82" s="117"/>
      <c r="H82" s="108"/>
      <c r="I82" s="108"/>
      <c r="J82" s="108"/>
      <c r="K82" s="103"/>
      <c r="L82" s="2"/>
      <c r="M82" s="4"/>
      <c r="N82" s="4"/>
      <c r="O82" s="4"/>
      <c r="P82" s="4"/>
      <c r="Q82" s="4"/>
    </row>
    <row r="83" spans="1:17" ht="14.1" customHeight="1" x14ac:dyDescent="0.2">
      <c r="A83" s="93">
        <v>719174</v>
      </c>
      <c r="B83" s="108">
        <v>421</v>
      </c>
      <c r="C83" s="108">
        <v>27.9</v>
      </c>
      <c r="D83" s="108">
        <v>393.1</v>
      </c>
      <c r="E83" s="114">
        <v>2400</v>
      </c>
      <c r="F83" s="110"/>
      <c r="G83" s="117"/>
      <c r="H83" s="108"/>
      <c r="I83" s="108"/>
      <c r="J83" s="108"/>
      <c r="K83" s="96"/>
      <c r="L83" s="4"/>
      <c r="M83" s="4"/>
      <c r="N83" s="4"/>
      <c r="O83" s="4"/>
      <c r="P83" s="4"/>
      <c r="Q83" s="4"/>
    </row>
    <row r="84" spans="1:17" ht="14.1" customHeight="1" x14ac:dyDescent="0.2">
      <c r="A84" s="93">
        <v>719175</v>
      </c>
      <c r="B84" s="108">
        <v>420</v>
      </c>
      <c r="C84" s="108">
        <v>26.9</v>
      </c>
      <c r="D84" s="108">
        <v>393.1</v>
      </c>
      <c r="E84" s="114">
        <v>2400</v>
      </c>
      <c r="F84" s="110"/>
      <c r="G84" s="117"/>
      <c r="H84" s="108"/>
      <c r="I84" s="108"/>
      <c r="J84" s="108"/>
      <c r="K84" s="96"/>
      <c r="L84" s="4"/>
    </row>
    <row r="85" spans="1:17" ht="14.1" customHeight="1" x14ac:dyDescent="0.2">
      <c r="A85" s="93"/>
      <c r="B85" s="108"/>
      <c r="C85" s="108"/>
      <c r="D85" s="108"/>
      <c r="E85" s="114"/>
      <c r="F85" s="110"/>
      <c r="G85" s="117"/>
      <c r="H85" s="108"/>
      <c r="I85" s="108"/>
      <c r="J85" s="108"/>
      <c r="K85" s="96"/>
      <c r="L85" s="4"/>
    </row>
    <row r="86" spans="1:17" ht="6.75" hidden="1" customHeight="1" x14ac:dyDescent="0.2">
      <c r="A86" s="93"/>
      <c r="B86" s="108"/>
      <c r="C86" s="108"/>
      <c r="D86" s="108"/>
      <c r="E86" s="114"/>
      <c r="F86" s="110"/>
      <c r="G86" s="117"/>
      <c r="H86" s="108"/>
      <c r="I86" s="108"/>
      <c r="J86" s="108"/>
      <c r="K86" s="96"/>
      <c r="L86" s="4"/>
    </row>
    <row r="87" spans="1:17" ht="15.75" x14ac:dyDescent="0.25">
      <c r="A87" s="93"/>
      <c r="B87" s="108"/>
      <c r="C87" s="108"/>
      <c r="D87" s="108"/>
      <c r="E87" s="114"/>
      <c r="F87" s="19"/>
      <c r="G87" s="178" t="s">
        <v>132</v>
      </c>
      <c r="H87" s="179">
        <v>27272</v>
      </c>
      <c r="I87" s="179">
        <v>1633</v>
      </c>
      <c r="J87" s="179">
        <v>25639</v>
      </c>
      <c r="K87" s="220">
        <v>168000</v>
      </c>
      <c r="L87" s="4"/>
    </row>
    <row r="88" spans="1:17" x14ac:dyDescent="0.2">
      <c r="A88" s="282" t="s">
        <v>28</v>
      </c>
      <c r="B88" s="283"/>
      <c r="C88" s="283"/>
      <c r="D88" s="283"/>
      <c r="E88" s="283"/>
      <c r="F88" s="283"/>
      <c r="G88" s="283"/>
      <c r="H88" s="230" t="s">
        <v>63</v>
      </c>
      <c r="I88" s="134"/>
      <c r="J88" s="134"/>
      <c r="K88" s="87"/>
      <c r="L88" s="4"/>
    </row>
    <row r="89" spans="1:17" x14ac:dyDescent="0.2">
      <c r="A89" s="280" t="s">
        <v>29</v>
      </c>
      <c r="B89" s="281"/>
      <c r="C89" s="281"/>
      <c r="D89" s="281"/>
      <c r="E89" s="281"/>
      <c r="F89" s="281"/>
      <c r="G89" s="281"/>
      <c r="H89" s="12" t="s">
        <v>168</v>
      </c>
      <c r="I89" s="137"/>
      <c r="J89" s="137"/>
      <c r="K89" s="86"/>
      <c r="L89" s="4"/>
    </row>
    <row r="90" spans="1:17" x14ac:dyDescent="0.2">
      <c r="A90" s="288" t="s">
        <v>167</v>
      </c>
      <c r="B90" s="281"/>
      <c r="C90" s="281"/>
      <c r="D90" s="281"/>
      <c r="E90" s="281"/>
      <c r="F90" s="137"/>
      <c r="G90" s="137"/>
      <c r="H90" s="137"/>
      <c r="I90" s="137"/>
      <c r="J90" s="137"/>
      <c r="K90" s="86"/>
    </row>
    <row r="91" spans="1:17" x14ac:dyDescent="0.2">
      <c r="A91" s="280"/>
      <c r="B91" s="281"/>
      <c r="C91" s="281"/>
      <c r="D91" s="281"/>
      <c r="E91" s="281"/>
      <c r="F91" s="137"/>
      <c r="G91" s="137"/>
      <c r="H91" s="137"/>
      <c r="I91" s="137"/>
      <c r="J91" s="137"/>
      <c r="K91" s="86"/>
    </row>
    <row r="92" spans="1:17" ht="21" customHeight="1" x14ac:dyDescent="0.2">
      <c r="A92" s="279" t="s">
        <v>169</v>
      </c>
      <c r="B92" s="264"/>
      <c r="C92" s="264"/>
      <c r="D92" s="264"/>
      <c r="E92" s="264"/>
      <c r="F92" s="137"/>
      <c r="G92" s="137"/>
      <c r="H92" s="137"/>
      <c r="I92" s="137"/>
      <c r="J92" s="137"/>
      <c r="K92" s="86"/>
    </row>
    <row r="93" spans="1:17" hidden="1" x14ac:dyDescent="0.2">
      <c r="A93" s="225"/>
      <c r="B93" s="224"/>
      <c r="C93" s="224"/>
      <c r="D93" s="224"/>
      <c r="E93" s="224"/>
      <c r="F93" s="137"/>
      <c r="G93" s="137"/>
      <c r="H93" s="137"/>
      <c r="I93" s="137"/>
      <c r="J93" s="137"/>
      <c r="K93" s="86"/>
    </row>
    <row r="94" spans="1:17" ht="18" customHeight="1" x14ac:dyDescent="0.2">
      <c r="A94" s="225"/>
      <c r="B94" s="224"/>
      <c r="C94" s="224"/>
      <c r="D94" s="224"/>
      <c r="E94" s="224"/>
      <c r="F94" s="137"/>
      <c r="G94" s="137"/>
      <c r="H94" s="137"/>
      <c r="I94" s="137"/>
      <c r="J94" s="137"/>
      <c r="K94" s="86"/>
    </row>
    <row r="95" spans="1:17" ht="13.5" thickBot="1" x14ac:dyDescent="0.25">
      <c r="A95" s="231"/>
      <c r="B95" s="214"/>
      <c r="C95" s="214"/>
      <c r="D95" s="214"/>
      <c r="E95" s="214"/>
      <c r="F95" s="214"/>
      <c r="G95" s="214"/>
      <c r="H95" s="214"/>
      <c r="I95" s="214"/>
      <c r="J95" s="214"/>
      <c r="K95" s="221"/>
    </row>
    <row r="96" spans="1:17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</sheetData>
  <mergeCells count="33">
    <mergeCell ref="A92:E92"/>
    <mergeCell ref="A90:E91"/>
    <mergeCell ref="A15:G17"/>
    <mergeCell ref="A88:G88"/>
    <mergeCell ref="A24:B24"/>
    <mergeCell ref="A26:B26"/>
    <mergeCell ref="C26:D26"/>
    <mergeCell ref="A89:G89"/>
    <mergeCell ref="A10:G10"/>
    <mergeCell ref="H27:I27"/>
    <mergeCell ref="H9:K9"/>
    <mergeCell ref="H10:K14"/>
    <mergeCell ref="A9:G9"/>
    <mergeCell ref="J17:K17"/>
    <mergeCell ref="C20:G20"/>
    <mergeCell ref="A12:G12"/>
    <mergeCell ref="A3:K3"/>
    <mergeCell ref="J4:K4"/>
    <mergeCell ref="H5:I5"/>
    <mergeCell ref="A5:G5"/>
    <mergeCell ref="J6:K6"/>
    <mergeCell ref="I21:J21"/>
    <mergeCell ref="A7:G7"/>
    <mergeCell ref="A8:G8"/>
    <mergeCell ref="A11:G11"/>
    <mergeCell ref="A6:G6"/>
    <mergeCell ref="K30:K31"/>
    <mergeCell ref="E30:E31"/>
    <mergeCell ref="A27:D27"/>
    <mergeCell ref="A14:G14"/>
    <mergeCell ref="H17:I17"/>
    <mergeCell ref="E25:G25"/>
    <mergeCell ref="I20:J20"/>
  </mergeCells>
  <printOptions horizontalCentered="1"/>
  <pageMargins left="0.13" right="0" top="0.01" bottom="0" header="0.01" footer="0"/>
  <pageSetup paperSize="9"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B3AA-A400-4F44-97A5-A9EF885F899C}">
  <dimension ref="A1:L81"/>
  <sheetViews>
    <sheetView topLeftCell="A51" zoomScaleNormal="100" workbookViewId="0">
      <selection activeCell="O10" sqref="O10"/>
    </sheetView>
  </sheetViews>
  <sheetFormatPr defaultRowHeight="12.75" x14ac:dyDescent="0.2"/>
  <cols>
    <col min="1" max="1" width="11.85546875" style="1" customWidth="1"/>
    <col min="2" max="2" width="10.42578125" style="1" customWidth="1"/>
    <col min="3" max="3" width="9" style="1" customWidth="1"/>
    <col min="4" max="4" width="10.5703125" style="1" customWidth="1"/>
    <col min="5" max="5" width="9" style="1" customWidth="1"/>
    <col min="6" max="6" width="6.28515625" style="1" customWidth="1"/>
    <col min="7" max="7" width="12.140625" style="1" customWidth="1"/>
    <col min="8" max="8" width="8.42578125" style="1" customWidth="1"/>
    <col min="9" max="9" width="12.42578125" style="63" customWidth="1"/>
    <col min="10" max="10" width="9.42578125" style="1" customWidth="1"/>
    <col min="11" max="11" width="13.5703125" style="63" customWidth="1"/>
    <col min="12" max="12" width="8.5703125" style="1" customWidth="1"/>
    <col min="13" max="16384" width="9.140625" style="1"/>
  </cols>
  <sheetData>
    <row r="1" spans="1:11" ht="13.5" thickBot="1" x14ac:dyDescent="0.25">
      <c r="K1" s="69"/>
    </row>
    <row r="2" spans="1:11" hidden="1" x14ac:dyDescent="0.2">
      <c r="K2" s="70">
        <v>1</v>
      </c>
    </row>
    <row r="3" spans="1:11" ht="19.5" x14ac:dyDescent="0.3">
      <c r="A3" s="332" t="s">
        <v>30</v>
      </c>
      <c r="B3" s="333"/>
      <c r="C3" s="333"/>
      <c r="D3" s="333"/>
      <c r="E3" s="333"/>
      <c r="F3" s="333"/>
      <c r="G3" s="333"/>
      <c r="H3" s="333"/>
      <c r="I3" s="333"/>
      <c r="J3" s="333"/>
      <c r="K3" s="334"/>
    </row>
    <row r="4" spans="1:11" x14ac:dyDescent="0.2">
      <c r="A4" s="84" t="s">
        <v>1</v>
      </c>
      <c r="B4" s="134"/>
      <c r="C4" s="134"/>
      <c r="D4" s="134"/>
      <c r="E4" s="134"/>
      <c r="F4" s="134"/>
      <c r="G4" s="135"/>
      <c r="H4" s="133" t="s">
        <v>2</v>
      </c>
      <c r="I4" s="139"/>
      <c r="J4" s="251" t="s">
        <v>3</v>
      </c>
      <c r="K4" s="252"/>
    </row>
    <row r="5" spans="1:11" ht="15.75" x14ac:dyDescent="0.2">
      <c r="A5" s="255" t="s">
        <v>140</v>
      </c>
      <c r="B5" s="256"/>
      <c r="C5" s="256"/>
      <c r="D5" s="256"/>
      <c r="E5" s="256"/>
      <c r="F5" s="256"/>
      <c r="G5" s="257"/>
      <c r="H5" s="253" t="s">
        <v>148</v>
      </c>
      <c r="I5" s="254"/>
      <c r="J5" s="136" t="s">
        <v>4</v>
      </c>
      <c r="K5" s="177">
        <v>46042</v>
      </c>
    </row>
    <row r="6" spans="1:11" x14ac:dyDescent="0.2">
      <c r="A6" s="255" t="s">
        <v>141</v>
      </c>
      <c r="B6" s="261"/>
      <c r="C6" s="261"/>
      <c r="D6" s="261"/>
      <c r="E6" s="261"/>
      <c r="F6" s="261"/>
      <c r="G6" s="262"/>
      <c r="H6" s="137" t="s">
        <v>5</v>
      </c>
      <c r="I6" s="140"/>
      <c r="J6" s="258" t="s">
        <v>149</v>
      </c>
      <c r="K6" s="259"/>
    </row>
    <row r="7" spans="1:11" x14ac:dyDescent="0.2">
      <c r="A7" s="255" t="s">
        <v>142</v>
      </c>
      <c r="B7" s="261"/>
      <c r="C7" s="261"/>
      <c r="D7" s="261"/>
      <c r="E7" s="261"/>
      <c r="F7" s="261"/>
      <c r="G7" s="262"/>
      <c r="H7" s="137" t="s">
        <v>6</v>
      </c>
      <c r="I7" s="140"/>
      <c r="J7" s="137"/>
      <c r="K7" s="197"/>
    </row>
    <row r="8" spans="1:11" x14ac:dyDescent="0.2">
      <c r="A8" s="255" t="s">
        <v>143</v>
      </c>
      <c r="B8" s="261"/>
      <c r="C8" s="261"/>
      <c r="D8" s="261"/>
      <c r="E8" s="261"/>
      <c r="F8" s="261"/>
      <c r="G8" s="262"/>
      <c r="H8" s="137" t="s">
        <v>7</v>
      </c>
      <c r="I8" s="140"/>
      <c r="J8" s="137"/>
      <c r="K8" s="197"/>
    </row>
    <row r="9" spans="1:11" x14ac:dyDescent="0.2">
      <c r="A9" s="255" t="s">
        <v>144</v>
      </c>
      <c r="B9" s="261"/>
      <c r="C9" s="261"/>
      <c r="D9" s="261"/>
      <c r="E9" s="261"/>
      <c r="F9" s="261"/>
      <c r="G9" s="262"/>
      <c r="H9" s="263" t="s">
        <v>152</v>
      </c>
      <c r="I9" s="264"/>
      <c r="J9" s="264"/>
      <c r="K9" s="265"/>
    </row>
    <row r="10" spans="1:11" x14ac:dyDescent="0.2">
      <c r="A10" s="255" t="s">
        <v>145</v>
      </c>
      <c r="B10" s="261"/>
      <c r="C10" s="261"/>
      <c r="D10" s="261"/>
      <c r="E10" s="261"/>
      <c r="F10" s="261"/>
      <c r="G10" s="262"/>
      <c r="H10" s="266" t="s">
        <v>153</v>
      </c>
      <c r="I10" s="267"/>
      <c r="J10" s="267"/>
      <c r="K10" s="268"/>
    </row>
    <row r="11" spans="1:11" x14ac:dyDescent="0.2">
      <c r="A11" s="255" t="s">
        <v>146</v>
      </c>
      <c r="B11" s="261"/>
      <c r="C11" s="261"/>
      <c r="D11" s="261"/>
      <c r="E11" s="261"/>
      <c r="F11" s="261"/>
      <c r="G11" s="262"/>
      <c r="H11" s="266"/>
      <c r="I11" s="267"/>
      <c r="J11" s="267"/>
      <c r="K11" s="268"/>
    </row>
    <row r="12" spans="1:11" x14ac:dyDescent="0.2">
      <c r="A12" s="276" t="s">
        <v>173</v>
      </c>
      <c r="B12" s="277"/>
      <c r="C12" s="277"/>
      <c r="D12" s="277"/>
      <c r="E12" s="277"/>
      <c r="F12" s="277"/>
      <c r="G12" s="278"/>
      <c r="H12" s="266"/>
      <c r="I12" s="267"/>
      <c r="J12" s="267"/>
      <c r="K12" s="268"/>
    </row>
    <row r="13" spans="1:11" x14ac:dyDescent="0.2">
      <c r="A13" s="84" t="s">
        <v>8</v>
      </c>
      <c r="B13" s="134"/>
      <c r="C13" s="134"/>
      <c r="D13" s="134"/>
      <c r="E13" s="134"/>
      <c r="F13" s="134"/>
      <c r="G13" s="135"/>
      <c r="H13" s="266"/>
      <c r="I13" s="267"/>
      <c r="J13" s="267"/>
      <c r="K13" s="268"/>
    </row>
    <row r="14" spans="1:11" x14ac:dyDescent="0.2">
      <c r="A14" s="279" t="s">
        <v>150</v>
      </c>
      <c r="B14" s="261"/>
      <c r="C14" s="261"/>
      <c r="D14" s="261"/>
      <c r="E14" s="261"/>
      <c r="F14" s="261"/>
      <c r="G14" s="262"/>
      <c r="H14" s="269"/>
      <c r="I14" s="270"/>
      <c r="J14" s="270"/>
      <c r="K14" s="271"/>
    </row>
    <row r="15" spans="1:11" ht="24.75" customHeight="1" x14ac:dyDescent="0.2">
      <c r="A15" s="462" t="s">
        <v>151</v>
      </c>
      <c r="B15" s="242"/>
      <c r="C15" s="242"/>
      <c r="D15" s="242"/>
      <c r="E15" s="242"/>
      <c r="F15" s="242"/>
      <c r="G15" s="243"/>
      <c r="H15" s="20" t="s">
        <v>9</v>
      </c>
      <c r="I15" s="64"/>
      <c r="J15" s="134" t="s">
        <v>10</v>
      </c>
      <c r="K15" s="198"/>
    </row>
    <row r="16" spans="1:11" x14ac:dyDescent="0.2">
      <c r="A16" s="241"/>
      <c r="B16" s="242"/>
      <c r="C16" s="242"/>
      <c r="D16" s="242"/>
      <c r="E16" s="242"/>
      <c r="F16" s="242"/>
      <c r="G16" s="243"/>
      <c r="H16" s="6"/>
      <c r="I16" s="141"/>
      <c r="J16" s="137"/>
      <c r="K16" s="197"/>
    </row>
    <row r="17" spans="1:11" ht="19.5" customHeight="1" x14ac:dyDescent="0.2">
      <c r="A17" s="241"/>
      <c r="B17" s="242"/>
      <c r="C17" s="242"/>
      <c r="D17" s="242"/>
      <c r="E17" s="242"/>
      <c r="F17" s="242"/>
      <c r="G17" s="243"/>
      <c r="H17" s="244" t="s">
        <v>11</v>
      </c>
      <c r="I17" s="245"/>
      <c r="J17" s="244" t="s">
        <v>160</v>
      </c>
      <c r="K17" s="272"/>
    </row>
    <row r="18" spans="1:11" x14ac:dyDescent="0.2">
      <c r="A18" s="284"/>
      <c r="B18" s="356"/>
      <c r="C18" s="356"/>
      <c r="D18" s="356"/>
      <c r="E18" s="356"/>
      <c r="F18" s="356"/>
      <c r="G18" s="357"/>
      <c r="H18" s="137" t="s">
        <v>12</v>
      </c>
      <c r="I18" s="140"/>
      <c r="J18" s="137"/>
      <c r="K18" s="197"/>
    </row>
    <row r="19" spans="1:11" x14ac:dyDescent="0.2">
      <c r="A19" s="84" t="s">
        <v>13</v>
      </c>
      <c r="B19" s="135"/>
      <c r="C19" s="134" t="s">
        <v>14</v>
      </c>
      <c r="D19" s="134"/>
      <c r="E19" s="134"/>
      <c r="F19" s="134"/>
      <c r="G19" s="135"/>
      <c r="H19" s="137"/>
      <c r="I19" s="140"/>
      <c r="J19" s="137"/>
      <c r="K19" s="197"/>
    </row>
    <row r="20" spans="1:11" x14ac:dyDescent="0.2">
      <c r="A20" s="89" t="s">
        <v>154</v>
      </c>
      <c r="B20" s="3"/>
      <c r="C20" s="273" t="s">
        <v>154</v>
      </c>
      <c r="D20" s="274"/>
      <c r="E20" s="274"/>
      <c r="F20" s="274"/>
      <c r="G20" s="275"/>
      <c r="H20" s="137"/>
      <c r="I20" s="247" t="s">
        <v>166</v>
      </c>
      <c r="J20" s="247"/>
      <c r="K20" s="197"/>
    </row>
    <row r="21" spans="1:11" x14ac:dyDescent="0.2">
      <c r="A21" s="84" t="s">
        <v>15</v>
      </c>
      <c r="B21" s="135"/>
      <c r="C21" s="133" t="s">
        <v>16</v>
      </c>
      <c r="D21" s="134"/>
      <c r="E21" s="134"/>
      <c r="F21" s="134"/>
      <c r="G21" s="135"/>
      <c r="H21" s="7"/>
      <c r="I21" s="260" t="s">
        <v>159</v>
      </c>
      <c r="J21" s="260"/>
      <c r="K21" s="199"/>
    </row>
    <row r="22" spans="1:11" x14ac:dyDescent="0.2">
      <c r="A22" s="83" t="s">
        <v>156</v>
      </c>
      <c r="B22" s="5"/>
      <c r="C22" s="185" t="s">
        <v>157</v>
      </c>
      <c r="D22" s="137"/>
      <c r="E22" s="137"/>
      <c r="F22" s="137"/>
      <c r="G22" s="137"/>
      <c r="H22" s="6"/>
      <c r="I22" s="140"/>
      <c r="J22" s="137"/>
      <c r="K22" s="197"/>
    </row>
    <row r="23" spans="1:11" x14ac:dyDescent="0.2">
      <c r="A23" s="84" t="s">
        <v>17</v>
      </c>
      <c r="B23" s="135"/>
      <c r="C23" s="290" t="s">
        <v>18</v>
      </c>
      <c r="D23" s="291"/>
      <c r="E23" s="291"/>
      <c r="F23" s="291"/>
      <c r="G23" s="292"/>
      <c r="H23" s="330"/>
      <c r="I23" s="247"/>
      <c r="J23" s="247"/>
      <c r="K23" s="331"/>
    </row>
    <row r="24" spans="1:11" x14ac:dyDescent="0.2">
      <c r="A24" s="284" t="s">
        <v>158</v>
      </c>
      <c r="B24" s="285"/>
      <c r="C24" s="327" t="s">
        <v>160</v>
      </c>
      <c r="D24" s="328"/>
      <c r="E24" s="328"/>
      <c r="F24" s="328"/>
      <c r="G24" s="329"/>
      <c r="H24" s="8"/>
      <c r="I24" s="65"/>
      <c r="J24" s="8"/>
      <c r="K24" s="200"/>
    </row>
    <row r="25" spans="1:11" x14ac:dyDescent="0.2">
      <c r="A25" s="321" t="s">
        <v>31</v>
      </c>
      <c r="B25" s="322"/>
      <c r="C25" s="323"/>
      <c r="D25" s="320" t="s">
        <v>32</v>
      </c>
      <c r="E25" s="319" t="s">
        <v>22</v>
      </c>
      <c r="F25" s="319"/>
      <c r="G25" s="319"/>
      <c r="H25" s="319"/>
      <c r="I25" s="66" t="s">
        <v>33</v>
      </c>
      <c r="J25" s="15" t="s">
        <v>34</v>
      </c>
      <c r="K25" s="201" t="s">
        <v>35</v>
      </c>
    </row>
    <row r="26" spans="1:11" x14ac:dyDescent="0.2">
      <c r="A26" s="324"/>
      <c r="B26" s="325"/>
      <c r="C26" s="326"/>
      <c r="D26" s="320"/>
      <c r="E26" s="319"/>
      <c r="F26" s="319"/>
      <c r="G26" s="319"/>
      <c r="H26" s="319"/>
      <c r="I26" s="67" t="s">
        <v>36</v>
      </c>
      <c r="J26" s="189" t="s">
        <v>37</v>
      </c>
      <c r="K26" s="202" t="s">
        <v>38</v>
      </c>
    </row>
    <row r="27" spans="1:11" ht="30" customHeight="1" x14ac:dyDescent="0.2">
      <c r="A27" s="351" t="s">
        <v>152</v>
      </c>
      <c r="B27" s="352"/>
      <c r="C27" s="352"/>
      <c r="D27" s="102"/>
      <c r="E27" s="348" t="s">
        <v>164</v>
      </c>
      <c r="F27" s="349"/>
      <c r="G27" s="349"/>
      <c r="H27" s="350"/>
      <c r="I27" s="77" t="s">
        <v>39</v>
      </c>
      <c r="J27" s="78" t="s">
        <v>40</v>
      </c>
      <c r="K27" s="203"/>
    </row>
    <row r="28" spans="1:11" x14ac:dyDescent="0.2">
      <c r="A28" s="288" t="s">
        <v>155</v>
      </c>
      <c r="B28" s="289"/>
      <c r="C28" s="289"/>
      <c r="D28" s="194"/>
      <c r="E28" s="132" t="s">
        <v>165</v>
      </c>
      <c r="F28" s="138"/>
      <c r="G28" s="137"/>
      <c r="H28" s="137"/>
      <c r="I28" s="73"/>
      <c r="J28" s="195"/>
      <c r="K28" s="204"/>
    </row>
    <row r="29" spans="1:11" x14ac:dyDescent="0.2">
      <c r="A29" s="83"/>
      <c r="B29" s="137"/>
      <c r="C29" s="137"/>
      <c r="D29" s="16"/>
      <c r="E29" s="137" t="s">
        <v>176</v>
      </c>
      <c r="F29" s="137"/>
      <c r="G29" s="137"/>
      <c r="H29" s="137"/>
      <c r="I29" s="73"/>
      <c r="J29" s="195"/>
      <c r="K29" s="204"/>
    </row>
    <row r="30" spans="1:11" ht="18.75" x14ac:dyDescent="0.3">
      <c r="A30" s="293" t="s">
        <v>174</v>
      </c>
      <c r="B30" s="294"/>
      <c r="C30" s="294"/>
      <c r="D30" s="294"/>
      <c r="E30" s="137"/>
      <c r="F30" s="137"/>
      <c r="G30" s="137"/>
      <c r="H30" s="137"/>
      <c r="I30" s="74"/>
      <c r="J30" s="5"/>
      <c r="K30" s="204"/>
    </row>
    <row r="31" spans="1:11" ht="15.75" x14ac:dyDescent="0.25">
      <c r="A31" s="353" t="s">
        <v>175</v>
      </c>
      <c r="B31" s="354"/>
      <c r="C31" s="354"/>
      <c r="D31" s="354"/>
      <c r="E31" s="354"/>
      <c r="F31" s="354"/>
      <c r="G31" s="354"/>
      <c r="H31" s="355"/>
      <c r="I31" s="74"/>
      <c r="J31" s="5"/>
      <c r="K31" s="204"/>
    </row>
    <row r="32" spans="1:11" x14ac:dyDescent="0.2">
      <c r="A32" s="187"/>
      <c r="B32" s="194"/>
      <c r="C32" s="194"/>
      <c r="D32" s="194"/>
      <c r="E32" s="12"/>
      <c r="F32" s="12"/>
      <c r="G32" s="12"/>
      <c r="H32" s="12"/>
      <c r="I32" s="75"/>
      <c r="J32" s="17"/>
      <c r="K32" s="204"/>
    </row>
    <row r="33" spans="1:11" ht="15.75" x14ac:dyDescent="0.25">
      <c r="A33" s="187"/>
      <c r="B33" s="146"/>
      <c r="C33" s="146"/>
      <c r="D33" s="146" t="s">
        <v>181</v>
      </c>
      <c r="E33" s="147" t="s">
        <v>180</v>
      </c>
      <c r="F33" s="147"/>
      <c r="G33" s="147"/>
      <c r="H33" s="147"/>
      <c r="I33" s="148">
        <v>9.9149999999999991</v>
      </c>
      <c r="J33" s="180">
        <v>480</v>
      </c>
      <c r="K33" s="205">
        <v>4759.2</v>
      </c>
    </row>
    <row r="34" spans="1:11" ht="15.75" x14ac:dyDescent="0.25">
      <c r="A34" s="187"/>
      <c r="B34" s="146"/>
      <c r="C34" s="146"/>
      <c r="D34" s="146" t="s">
        <v>183</v>
      </c>
      <c r="E34" s="147" t="s">
        <v>182</v>
      </c>
      <c r="F34" s="147"/>
      <c r="G34" s="147"/>
      <c r="H34" s="147"/>
      <c r="I34" s="148">
        <v>15.724</v>
      </c>
      <c r="J34" s="180">
        <v>480</v>
      </c>
      <c r="K34" s="205">
        <v>7547.52</v>
      </c>
    </row>
    <row r="35" spans="1:11" ht="15.75" x14ac:dyDescent="0.25">
      <c r="A35" s="187"/>
      <c r="B35" s="146"/>
      <c r="C35" s="146"/>
      <c r="D35" s="146" t="s">
        <v>184</v>
      </c>
      <c r="E35" s="147"/>
      <c r="F35" s="147"/>
      <c r="G35" s="147"/>
      <c r="H35" s="147"/>
      <c r="I35" s="148"/>
      <c r="J35" s="180"/>
      <c r="K35" s="205"/>
    </row>
    <row r="36" spans="1:11" ht="15.75" x14ac:dyDescent="0.25">
      <c r="A36" s="83"/>
      <c r="B36" s="146"/>
      <c r="C36" s="146" t="s">
        <v>171</v>
      </c>
      <c r="D36" s="146" t="s">
        <v>185</v>
      </c>
      <c r="E36" s="191"/>
      <c r="F36" s="191"/>
      <c r="G36" s="147"/>
      <c r="H36" s="147"/>
      <c r="I36" s="148"/>
      <c r="J36" s="180"/>
      <c r="K36" s="205"/>
    </row>
    <row r="37" spans="1:11" ht="15.75" x14ac:dyDescent="0.25">
      <c r="A37" s="83"/>
      <c r="B37" s="146"/>
      <c r="C37" s="146"/>
      <c r="D37" s="146"/>
      <c r="E37" s="191"/>
      <c r="F37" s="191"/>
      <c r="G37" s="147"/>
      <c r="H37" s="147"/>
      <c r="I37" s="148"/>
      <c r="J37" s="180"/>
      <c r="K37" s="205"/>
    </row>
    <row r="38" spans="1:11" ht="15.75" x14ac:dyDescent="0.25">
      <c r="A38" s="83"/>
      <c r="B38" s="146"/>
      <c r="C38" s="146"/>
      <c r="D38" s="146"/>
      <c r="E38" s="191"/>
      <c r="F38" s="191"/>
      <c r="G38" s="147"/>
      <c r="H38" s="147"/>
      <c r="I38" s="148"/>
      <c r="J38" s="180"/>
      <c r="K38" s="205"/>
    </row>
    <row r="39" spans="1:11" ht="15.75" x14ac:dyDescent="0.25">
      <c r="A39" s="83"/>
      <c r="B39" s="146"/>
      <c r="C39" s="146"/>
      <c r="D39" s="146"/>
      <c r="E39" s="191"/>
      <c r="F39" s="191"/>
      <c r="G39" s="147"/>
      <c r="H39" s="147"/>
      <c r="I39" s="148"/>
      <c r="J39" s="180"/>
      <c r="K39" s="205"/>
    </row>
    <row r="40" spans="1:11" ht="15.75" x14ac:dyDescent="0.25">
      <c r="A40" s="83"/>
      <c r="B40" s="146"/>
      <c r="C40" s="146"/>
      <c r="D40" s="146"/>
      <c r="E40" s="191"/>
      <c r="F40" s="191"/>
      <c r="G40" s="147"/>
      <c r="H40" s="147"/>
      <c r="I40" s="148"/>
      <c r="J40" s="180"/>
      <c r="K40" s="205"/>
    </row>
    <row r="41" spans="1:11" ht="15.75" x14ac:dyDescent="0.25">
      <c r="A41" s="83"/>
      <c r="B41" s="146"/>
      <c r="C41" s="146"/>
      <c r="D41" s="146"/>
      <c r="E41" s="191"/>
      <c r="F41" s="191"/>
      <c r="G41" s="147"/>
      <c r="H41" s="147"/>
      <c r="I41" s="148"/>
      <c r="J41" s="180"/>
      <c r="K41" s="205"/>
    </row>
    <row r="42" spans="1:11" ht="15.75" x14ac:dyDescent="0.25">
      <c r="A42" s="83"/>
      <c r="B42" s="146"/>
      <c r="C42" s="146"/>
      <c r="D42" s="146"/>
      <c r="E42" s="191"/>
      <c r="F42" s="191"/>
      <c r="G42" s="147"/>
      <c r="H42" s="147"/>
      <c r="I42" s="148"/>
      <c r="J42" s="180"/>
      <c r="K42" s="205"/>
    </row>
    <row r="43" spans="1:11" ht="15.75" x14ac:dyDescent="0.25">
      <c r="A43" s="83"/>
      <c r="B43" s="146"/>
      <c r="C43" s="146"/>
      <c r="D43" s="146"/>
      <c r="E43" s="191"/>
      <c r="F43" s="191"/>
      <c r="G43" s="147"/>
      <c r="H43" s="147"/>
      <c r="I43" s="148"/>
      <c r="J43" s="180"/>
      <c r="K43" s="205"/>
    </row>
    <row r="44" spans="1:11" ht="15.75" hidden="1" x14ac:dyDescent="0.25">
      <c r="A44" s="83"/>
      <c r="B44" s="146"/>
      <c r="C44" s="146"/>
      <c r="D44" s="146"/>
      <c r="E44" s="191"/>
      <c r="F44" s="191"/>
      <c r="G44" s="147"/>
      <c r="H44" s="147"/>
      <c r="I44" s="148"/>
      <c r="J44" s="180"/>
      <c r="K44" s="205"/>
    </row>
    <row r="45" spans="1:11" ht="15.75" hidden="1" x14ac:dyDescent="0.25">
      <c r="A45" s="83"/>
      <c r="B45" s="146"/>
      <c r="C45" s="146"/>
      <c r="D45" s="146"/>
      <c r="E45" s="191"/>
      <c r="F45" s="191"/>
      <c r="G45" s="147"/>
      <c r="H45" s="147"/>
      <c r="I45" s="148"/>
      <c r="J45" s="180"/>
      <c r="K45" s="205"/>
    </row>
    <row r="46" spans="1:11" ht="15.75" hidden="1" x14ac:dyDescent="0.25">
      <c r="A46" s="83"/>
      <c r="B46" s="146"/>
      <c r="C46" s="146"/>
      <c r="D46" s="146"/>
      <c r="E46" s="191"/>
      <c r="F46" s="191"/>
      <c r="G46" s="147"/>
      <c r="H46" s="147"/>
      <c r="I46" s="148"/>
      <c r="J46" s="180"/>
      <c r="K46" s="205"/>
    </row>
    <row r="47" spans="1:11" ht="15.75" hidden="1" x14ac:dyDescent="0.25">
      <c r="A47" s="83"/>
      <c r="B47" s="146"/>
      <c r="C47" s="146"/>
      <c r="D47" s="146"/>
      <c r="E47" s="191"/>
      <c r="F47" s="191"/>
      <c r="G47" s="147"/>
      <c r="H47" s="147"/>
      <c r="I47" s="148"/>
      <c r="J47" s="180"/>
      <c r="K47" s="205"/>
    </row>
    <row r="48" spans="1:11" ht="15.75" hidden="1" x14ac:dyDescent="0.25">
      <c r="A48" s="83"/>
      <c r="B48" s="146"/>
      <c r="C48" s="146"/>
      <c r="D48" s="146"/>
      <c r="E48" s="191"/>
      <c r="F48" s="191"/>
      <c r="G48" s="147"/>
      <c r="H48" s="147"/>
      <c r="I48" s="148"/>
      <c r="J48" s="180"/>
      <c r="K48" s="205"/>
    </row>
    <row r="49" spans="1:12" ht="15.75" hidden="1" x14ac:dyDescent="0.25">
      <c r="A49" s="83"/>
      <c r="B49" s="146"/>
      <c r="C49" s="146"/>
      <c r="D49" s="146"/>
      <c r="E49" s="191"/>
      <c r="F49" s="191"/>
      <c r="G49" s="147"/>
      <c r="H49" s="147"/>
      <c r="I49" s="148"/>
      <c r="J49" s="180"/>
      <c r="K49" s="205"/>
    </row>
    <row r="50" spans="1:12" ht="15.75" hidden="1" x14ac:dyDescent="0.25">
      <c r="A50" s="83"/>
      <c r="B50" s="146"/>
      <c r="C50" s="146"/>
      <c r="D50" s="146"/>
      <c r="E50" s="191"/>
      <c r="F50" s="191"/>
      <c r="G50" s="147"/>
      <c r="H50" s="147"/>
      <c r="I50" s="148"/>
      <c r="J50" s="180"/>
      <c r="K50" s="205"/>
    </row>
    <row r="51" spans="1:12" ht="15.75" x14ac:dyDescent="0.25">
      <c r="A51" s="83"/>
      <c r="B51" s="146"/>
      <c r="C51" s="146"/>
      <c r="D51" s="146"/>
      <c r="E51" s="191"/>
      <c r="F51" s="191"/>
      <c r="G51" s="147"/>
      <c r="H51" s="147"/>
      <c r="I51" s="148"/>
      <c r="J51" s="180"/>
      <c r="K51" s="205"/>
    </row>
    <row r="52" spans="1:12" ht="15.75" x14ac:dyDescent="0.25">
      <c r="A52" s="83"/>
      <c r="B52" s="146"/>
      <c r="C52" s="146"/>
      <c r="D52" s="146"/>
      <c r="E52" s="191"/>
      <c r="F52" s="191"/>
      <c r="G52" s="147"/>
      <c r="H52" s="147"/>
      <c r="I52" s="148"/>
      <c r="J52" s="180"/>
      <c r="K52" s="205"/>
    </row>
    <row r="53" spans="1:12" ht="15.75" x14ac:dyDescent="0.25">
      <c r="A53" s="83"/>
      <c r="B53" s="146"/>
      <c r="C53" s="146"/>
      <c r="D53" s="146"/>
      <c r="E53" s="191"/>
      <c r="F53" s="191"/>
      <c r="G53" s="147"/>
      <c r="H53" s="147"/>
      <c r="I53" s="148"/>
      <c r="J53" s="180"/>
      <c r="K53" s="205"/>
    </row>
    <row r="54" spans="1:12" x14ac:dyDescent="0.2">
      <c r="A54" s="83"/>
      <c r="B54" s="194"/>
      <c r="C54" s="194"/>
      <c r="D54" s="194"/>
      <c r="E54" s="186"/>
      <c r="F54" s="186"/>
      <c r="G54" s="12"/>
      <c r="H54" s="12"/>
      <c r="I54" s="75"/>
      <c r="J54" s="181"/>
      <c r="K54" s="206"/>
    </row>
    <row r="55" spans="1:12" x14ac:dyDescent="0.2">
      <c r="A55" s="83"/>
      <c r="B55" s="194"/>
      <c r="C55" s="194"/>
      <c r="D55" s="194"/>
      <c r="E55" s="186"/>
      <c r="F55" s="186"/>
      <c r="G55" s="12"/>
      <c r="H55" s="12"/>
      <c r="I55" s="75"/>
      <c r="J55" s="181"/>
      <c r="K55" s="206"/>
    </row>
    <row r="56" spans="1:12" x14ac:dyDescent="0.2">
      <c r="A56" s="83"/>
      <c r="B56" s="137"/>
      <c r="C56" s="137"/>
      <c r="D56" s="194"/>
      <c r="E56" s="12"/>
      <c r="F56" s="12"/>
      <c r="G56" s="12"/>
      <c r="H56" s="12"/>
      <c r="I56" s="74"/>
      <c r="J56" s="195"/>
      <c r="K56" s="204"/>
    </row>
    <row r="57" spans="1:12" ht="15.75" x14ac:dyDescent="0.25">
      <c r="A57" s="83" t="s">
        <v>41</v>
      </c>
      <c r="B57" s="137"/>
      <c r="C57" s="137"/>
      <c r="D57" s="190" t="s">
        <v>42</v>
      </c>
      <c r="E57" s="143">
        <v>70</v>
      </c>
      <c r="F57" s="188" t="str">
        <f>PCK!F27</f>
        <v>PALLET</v>
      </c>
      <c r="G57" s="137"/>
      <c r="H57" s="137"/>
      <c r="I57" s="74"/>
      <c r="J57" s="195"/>
      <c r="K57" s="204"/>
    </row>
    <row r="58" spans="1:12" ht="15.75" x14ac:dyDescent="0.25">
      <c r="A58" s="83" t="s">
        <v>43</v>
      </c>
      <c r="B58" s="137"/>
      <c r="C58" s="137"/>
      <c r="D58" s="13" t="s">
        <v>42</v>
      </c>
      <c r="E58" s="144">
        <v>27.271999999999998</v>
      </c>
      <c r="F58" s="137" t="s">
        <v>44</v>
      </c>
      <c r="G58" s="137"/>
      <c r="H58" s="137"/>
      <c r="I58" s="74"/>
      <c r="J58" s="195"/>
      <c r="K58" s="204"/>
      <c r="L58" s="14"/>
    </row>
    <row r="59" spans="1:12" ht="15.75" x14ac:dyDescent="0.25">
      <c r="A59" s="83" t="s">
        <v>45</v>
      </c>
      <c r="B59" s="137"/>
      <c r="C59" s="137"/>
      <c r="D59" s="190" t="s">
        <v>42</v>
      </c>
      <c r="E59" s="145">
        <v>1.633</v>
      </c>
      <c r="F59" s="137" t="s">
        <v>44</v>
      </c>
      <c r="G59" s="137"/>
      <c r="H59" s="137"/>
      <c r="I59" s="74"/>
      <c r="J59" s="195"/>
      <c r="K59" s="204"/>
    </row>
    <row r="60" spans="1:12" ht="15.75" x14ac:dyDescent="0.25">
      <c r="A60" s="83" t="s">
        <v>46</v>
      </c>
      <c r="B60" s="137"/>
      <c r="C60" s="137"/>
      <c r="D60" s="190" t="s">
        <v>42</v>
      </c>
      <c r="E60" s="145">
        <v>25.638999999999999</v>
      </c>
      <c r="F60" s="137" t="s">
        <v>44</v>
      </c>
      <c r="G60" s="137"/>
      <c r="H60" s="137"/>
      <c r="I60" s="74"/>
      <c r="J60" s="195"/>
      <c r="K60" s="204"/>
    </row>
    <row r="61" spans="1:12" ht="12" customHeight="1" x14ac:dyDescent="0.2">
      <c r="A61" s="83"/>
      <c r="B61" s="137"/>
      <c r="C61" s="137"/>
      <c r="D61" s="137"/>
      <c r="E61" s="137"/>
      <c r="F61" s="137"/>
      <c r="G61" s="137"/>
      <c r="H61" s="137"/>
      <c r="I61" s="74"/>
      <c r="J61" s="195"/>
      <c r="K61" s="204"/>
    </row>
    <row r="62" spans="1:12" ht="11.25" customHeight="1" x14ac:dyDescent="0.2">
      <c r="A62" s="83"/>
      <c r="B62" s="137"/>
      <c r="C62" s="137"/>
      <c r="D62" s="137"/>
      <c r="E62" s="137"/>
      <c r="F62" s="137"/>
      <c r="G62" s="137"/>
      <c r="H62" s="137"/>
      <c r="I62" s="74"/>
      <c r="J62" s="195"/>
      <c r="K62" s="204"/>
    </row>
    <row r="63" spans="1:12" ht="18.75" x14ac:dyDescent="0.3">
      <c r="A63" s="84" t="s">
        <v>47</v>
      </c>
      <c r="B63" s="134"/>
      <c r="C63" s="290"/>
      <c r="D63" s="291"/>
      <c r="E63" s="291"/>
      <c r="F63" s="291"/>
      <c r="G63" s="292"/>
      <c r="H63" s="182" t="s">
        <v>27</v>
      </c>
      <c r="I63" s="183">
        <f>SUM(I28:I62)</f>
        <v>25.638999999999999</v>
      </c>
      <c r="J63" s="19"/>
      <c r="K63" s="207">
        <f>SUM(K27:K62)</f>
        <v>12306.720000000001</v>
      </c>
    </row>
    <row r="64" spans="1:12" x14ac:dyDescent="0.2">
      <c r="A64" s="279" t="s">
        <v>64</v>
      </c>
      <c r="B64" s="264"/>
      <c r="C64" s="305" t="s">
        <v>186</v>
      </c>
      <c r="D64" s="306"/>
      <c r="E64" s="306"/>
      <c r="F64" s="306"/>
      <c r="G64" s="306"/>
      <c r="H64" s="306"/>
      <c r="I64" s="306"/>
      <c r="J64" s="306"/>
      <c r="K64" s="307"/>
    </row>
    <row r="65" spans="1:11" x14ac:dyDescent="0.2">
      <c r="A65" s="83"/>
      <c r="B65" s="137"/>
      <c r="C65" s="308"/>
      <c r="D65" s="309"/>
      <c r="E65" s="309"/>
      <c r="F65" s="309"/>
      <c r="G65" s="309"/>
      <c r="H65" s="309"/>
      <c r="I65" s="309"/>
      <c r="J65" s="309"/>
      <c r="K65" s="310"/>
    </row>
    <row r="66" spans="1:11" x14ac:dyDescent="0.2">
      <c r="A66" s="208"/>
      <c r="B66" s="8"/>
      <c r="C66" s="311"/>
      <c r="D66" s="312"/>
      <c r="E66" s="312"/>
      <c r="F66" s="312"/>
      <c r="G66" s="312"/>
      <c r="H66" s="312"/>
      <c r="I66" s="312"/>
      <c r="J66" s="312"/>
      <c r="K66" s="313"/>
    </row>
    <row r="67" spans="1:11" ht="18.75" x14ac:dyDescent="0.3">
      <c r="A67" s="314" t="s">
        <v>48</v>
      </c>
      <c r="B67" s="315"/>
      <c r="C67" s="316">
        <v>1101451.44</v>
      </c>
      <c r="D67" s="317"/>
      <c r="E67" s="317"/>
      <c r="F67" s="317"/>
      <c r="G67" s="317"/>
      <c r="H67" s="317"/>
      <c r="I67" s="317"/>
      <c r="J67" s="317"/>
      <c r="K67" s="318"/>
    </row>
    <row r="68" spans="1:11" ht="13.5" hidden="1" customHeight="1" x14ac:dyDescent="0.25">
      <c r="A68" s="295"/>
      <c r="B68" s="296"/>
      <c r="C68" s="297"/>
      <c r="D68" s="297"/>
      <c r="E68" s="297"/>
      <c r="F68" s="297"/>
      <c r="G68" s="297"/>
      <c r="H68" s="297"/>
      <c r="I68" s="297"/>
      <c r="J68" s="297"/>
      <c r="K68" s="298"/>
    </row>
    <row r="69" spans="1:11" ht="13.5" hidden="1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9"/>
    </row>
    <row r="70" spans="1:11" ht="13.5" customHeight="1" x14ac:dyDescent="0.25">
      <c r="A70" s="337"/>
      <c r="B70" s="338"/>
      <c r="C70" s="338"/>
      <c r="D70" s="338"/>
      <c r="E70" s="338"/>
      <c r="F70" s="338"/>
      <c r="G70" s="338"/>
      <c r="H70" s="338"/>
      <c r="I70" s="338"/>
      <c r="J70" s="338"/>
      <c r="K70" s="339"/>
    </row>
    <row r="71" spans="1:11" ht="13.5" customHeight="1" x14ac:dyDescent="0.2">
      <c r="A71" s="463" t="s">
        <v>167</v>
      </c>
      <c r="B71" s="303"/>
      <c r="C71" s="303"/>
      <c r="D71" s="303"/>
      <c r="E71" s="303"/>
      <c r="F71" s="303"/>
      <c r="G71" s="303"/>
      <c r="H71" s="303"/>
      <c r="I71" s="303"/>
      <c r="J71" s="303"/>
      <c r="K71" s="304"/>
    </row>
    <row r="72" spans="1:11" x14ac:dyDescent="0.2">
      <c r="A72" s="302"/>
      <c r="B72" s="303"/>
      <c r="C72" s="303"/>
      <c r="D72" s="303"/>
      <c r="E72" s="303"/>
      <c r="F72" s="303"/>
      <c r="G72" s="303"/>
      <c r="H72" s="303"/>
      <c r="I72" s="303"/>
      <c r="J72" s="303"/>
      <c r="K72" s="304"/>
    </row>
    <row r="73" spans="1:11" ht="21" customHeight="1" x14ac:dyDescent="0.2">
      <c r="A73" s="299" t="s">
        <v>169</v>
      </c>
      <c r="B73" s="300"/>
      <c r="C73" s="300"/>
      <c r="D73" s="300"/>
      <c r="E73" s="300"/>
      <c r="F73" s="300"/>
      <c r="G73" s="300"/>
      <c r="H73" s="300"/>
      <c r="I73" s="300"/>
      <c r="J73" s="300"/>
      <c r="K73" s="301"/>
    </row>
    <row r="74" spans="1:11" ht="9.75" customHeight="1" x14ac:dyDescent="0.2">
      <c r="A74" s="209" t="s">
        <v>49</v>
      </c>
      <c r="B74" s="18"/>
      <c r="C74" s="18"/>
      <c r="D74" s="18"/>
      <c r="E74" s="18"/>
      <c r="F74" s="18"/>
      <c r="G74" s="134"/>
      <c r="H74" s="101"/>
      <c r="I74" s="139"/>
      <c r="J74" s="134"/>
      <c r="K74" s="198"/>
    </row>
    <row r="75" spans="1:11" x14ac:dyDescent="0.2">
      <c r="A75" s="83" t="s">
        <v>50</v>
      </c>
      <c r="B75" s="11"/>
      <c r="C75" s="11"/>
      <c r="D75" s="11"/>
      <c r="E75" s="11"/>
      <c r="F75" s="11"/>
      <c r="G75" s="137"/>
      <c r="H75" s="185" t="s">
        <v>63</v>
      </c>
      <c r="I75" s="140"/>
      <c r="J75" s="137"/>
      <c r="K75" s="197"/>
    </row>
    <row r="76" spans="1:11" x14ac:dyDescent="0.2">
      <c r="A76" s="83" t="s">
        <v>29</v>
      </c>
      <c r="B76" s="11"/>
      <c r="C76" s="11"/>
      <c r="D76" s="11"/>
      <c r="E76" s="11"/>
      <c r="F76" s="11"/>
      <c r="G76" s="137"/>
      <c r="H76" s="185" t="s">
        <v>168</v>
      </c>
      <c r="I76" s="140"/>
      <c r="J76" s="137"/>
      <c r="K76" s="197"/>
    </row>
    <row r="77" spans="1:11" ht="14.25" customHeight="1" x14ac:dyDescent="0.25">
      <c r="A77" s="210" t="s">
        <v>177</v>
      </c>
      <c r="B77" s="196"/>
      <c r="C77" s="196"/>
      <c r="D77" s="196"/>
      <c r="E77" s="196"/>
      <c r="F77" s="196"/>
      <c r="G77" s="196"/>
      <c r="H77" s="6"/>
      <c r="I77" s="140"/>
      <c r="J77" s="137"/>
      <c r="K77" s="197"/>
    </row>
    <row r="78" spans="1:11" ht="13.5" customHeight="1" x14ac:dyDescent="0.2">
      <c r="A78" s="340" t="s">
        <v>178</v>
      </c>
      <c r="B78" s="341"/>
      <c r="C78" s="341"/>
      <c r="D78" s="341"/>
      <c r="E78" s="341"/>
      <c r="F78" s="341"/>
      <c r="G78" s="342"/>
      <c r="H78" s="6"/>
      <c r="I78" s="140"/>
      <c r="J78" s="137"/>
      <c r="K78" s="197"/>
    </row>
    <row r="79" spans="1:11" ht="13.5" customHeight="1" x14ac:dyDescent="0.2">
      <c r="A79" s="343"/>
      <c r="B79" s="344"/>
      <c r="C79" s="344"/>
      <c r="D79" s="344"/>
      <c r="E79" s="344"/>
      <c r="F79" s="344"/>
      <c r="G79" s="345"/>
      <c r="H79" s="9"/>
      <c r="I79" s="68"/>
      <c r="J79" s="194"/>
      <c r="K79" s="211"/>
    </row>
    <row r="80" spans="1:11" ht="13.5" customHeight="1" x14ac:dyDescent="0.25">
      <c r="A80" s="346" t="s">
        <v>179</v>
      </c>
      <c r="B80" s="347"/>
      <c r="C80" s="347"/>
      <c r="D80" s="347"/>
      <c r="E80" s="347"/>
      <c r="F80" s="347"/>
      <c r="G80" s="232"/>
      <c r="H80" s="9"/>
      <c r="I80" s="68"/>
      <c r="J80" s="233"/>
      <c r="K80" s="211"/>
    </row>
    <row r="81" spans="1:11" ht="13.5" thickBot="1" x14ac:dyDescent="0.25">
      <c r="A81" s="335"/>
      <c r="B81" s="336"/>
      <c r="C81" s="336"/>
      <c r="D81" s="336"/>
      <c r="E81" s="336"/>
      <c r="F81" s="336"/>
      <c r="G81" s="336"/>
      <c r="H81" s="212"/>
      <c r="I81" s="213"/>
      <c r="J81" s="214"/>
      <c r="K81" s="215"/>
    </row>
  </sheetData>
  <mergeCells count="47">
    <mergeCell ref="A80:F80"/>
    <mergeCell ref="I21:J21"/>
    <mergeCell ref="H17:I17"/>
    <mergeCell ref="J6:K6"/>
    <mergeCell ref="E27:H27"/>
    <mergeCell ref="A27:C27"/>
    <mergeCell ref="A31:H31"/>
    <mergeCell ref="A7:G7"/>
    <mergeCell ref="J17:K17"/>
    <mergeCell ref="A18:G18"/>
    <mergeCell ref="C20:G20"/>
    <mergeCell ref="A81:G81"/>
    <mergeCell ref="A8:G8"/>
    <mergeCell ref="A9:G9"/>
    <mergeCell ref="A70:K70"/>
    <mergeCell ref="A69:K69"/>
    <mergeCell ref="H10:K14"/>
    <mergeCell ref="A11:G11"/>
    <mergeCell ref="A78:G79"/>
    <mergeCell ref="A15:G17"/>
    <mergeCell ref="A3:K3"/>
    <mergeCell ref="J4:K4"/>
    <mergeCell ref="A5:G5"/>
    <mergeCell ref="H5:I5"/>
    <mergeCell ref="A6:G6"/>
    <mergeCell ref="I20:J20"/>
    <mergeCell ref="H9:K9"/>
    <mergeCell ref="A12:G12"/>
    <mergeCell ref="A14:G14"/>
    <mergeCell ref="A10:G10"/>
    <mergeCell ref="A24:B24"/>
    <mergeCell ref="E25:H26"/>
    <mergeCell ref="D25:D26"/>
    <mergeCell ref="A25:C26"/>
    <mergeCell ref="C23:G23"/>
    <mergeCell ref="C24:G24"/>
    <mergeCell ref="H23:K23"/>
    <mergeCell ref="A28:C28"/>
    <mergeCell ref="C63:G63"/>
    <mergeCell ref="A30:D30"/>
    <mergeCell ref="A68:K68"/>
    <mergeCell ref="A73:K73"/>
    <mergeCell ref="A71:K72"/>
    <mergeCell ref="C64:K66"/>
    <mergeCell ref="A67:B67"/>
    <mergeCell ref="A64:B64"/>
    <mergeCell ref="C67:K67"/>
  </mergeCells>
  <pageMargins left="0.511811023622047" right="0.23622047244094499" top="0.23622047244094499" bottom="0.23622047244094499" header="0" footer="0"/>
  <pageSetup paperSize="9" scale="8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FEB7-B47E-4E11-A6D0-4BBF21A81617}">
  <dimension ref="A1:J49"/>
  <sheetViews>
    <sheetView topLeftCell="A28" workbookViewId="0">
      <selection activeCell="E42" sqref="E42"/>
    </sheetView>
  </sheetViews>
  <sheetFormatPr defaultRowHeight="15" x14ac:dyDescent="0.25"/>
  <cols>
    <col min="1" max="1" width="6.85546875" style="22" customWidth="1"/>
    <col min="2" max="4" width="9.7109375" style="22" customWidth="1"/>
    <col min="5" max="5" width="26.85546875" style="22" customWidth="1"/>
    <col min="6" max="6" width="2.7109375" style="22" customWidth="1"/>
    <col min="7" max="7" width="13.42578125" style="22" customWidth="1"/>
    <col min="8" max="9" width="9.7109375" style="22" customWidth="1"/>
    <col min="10" max="10" width="16.85546875" style="22" customWidth="1"/>
    <col min="11" max="16384" width="9.140625" style="22"/>
  </cols>
  <sheetData>
    <row r="1" spans="1:10" ht="15.75" x14ac:dyDescent="0.25">
      <c r="A1" s="381" t="s">
        <v>187</v>
      </c>
      <c r="B1" s="382"/>
      <c r="C1" s="382"/>
      <c r="D1" s="382"/>
      <c r="E1" s="382"/>
      <c r="F1" s="382"/>
      <c r="G1" s="382"/>
      <c r="H1" s="382"/>
      <c r="I1" s="382"/>
      <c r="J1" s="383"/>
    </row>
    <row r="2" spans="1:10" x14ac:dyDescent="0.25">
      <c r="A2" s="384" t="s">
        <v>188</v>
      </c>
      <c r="B2" s="385"/>
      <c r="C2" s="385"/>
      <c r="D2" s="385"/>
      <c r="E2" s="385"/>
      <c r="F2" s="385"/>
      <c r="G2" s="385"/>
      <c r="H2" s="385"/>
      <c r="I2" s="385"/>
      <c r="J2" s="386"/>
    </row>
    <row r="3" spans="1:10" x14ac:dyDescent="0.25">
      <c r="A3" s="387" t="s">
        <v>189</v>
      </c>
      <c r="B3" s="388"/>
      <c r="C3" s="388"/>
      <c r="D3" s="388"/>
      <c r="E3" s="388"/>
      <c r="F3" s="388"/>
      <c r="G3" s="388"/>
      <c r="H3" s="388"/>
      <c r="I3" s="388"/>
      <c r="J3" s="389"/>
    </row>
    <row r="4" spans="1:10" ht="18.75" x14ac:dyDescent="0.3">
      <c r="A4" s="390" t="s">
        <v>190</v>
      </c>
      <c r="B4" s="391"/>
      <c r="C4" s="391"/>
      <c r="D4" s="391"/>
      <c r="E4" s="391"/>
      <c r="F4" s="391"/>
      <c r="G4" s="391"/>
      <c r="H4" s="391"/>
      <c r="I4" s="391"/>
      <c r="J4" s="392"/>
    </row>
    <row r="5" spans="1:10" ht="15.75" x14ac:dyDescent="0.25">
      <c r="A5" s="393" t="s">
        <v>65</v>
      </c>
      <c r="B5" s="394"/>
      <c r="C5" s="394"/>
      <c r="D5" s="394"/>
      <c r="E5" s="394"/>
      <c r="F5" s="394"/>
      <c r="G5" s="394"/>
      <c r="H5" s="394"/>
      <c r="I5" s="394"/>
      <c r="J5" s="395"/>
    </row>
    <row r="6" spans="1:10" ht="21" customHeight="1" x14ac:dyDescent="0.25">
      <c r="A6" s="23" t="s">
        <v>66</v>
      </c>
      <c r="B6" s="149" t="s">
        <v>51</v>
      </c>
      <c r="C6" s="150"/>
      <c r="D6" s="150"/>
      <c r="E6" s="151"/>
      <c r="F6" s="358" t="s">
        <v>140</v>
      </c>
      <c r="G6" s="359"/>
      <c r="H6" s="359"/>
      <c r="I6" s="359"/>
      <c r="J6" s="360"/>
    </row>
    <row r="7" spans="1:10" ht="21" customHeight="1" x14ac:dyDescent="0.25">
      <c r="A7" s="152" t="s">
        <v>67</v>
      </c>
      <c r="B7" s="149" t="s">
        <v>52</v>
      </c>
      <c r="C7" s="150"/>
      <c r="D7" s="150"/>
      <c r="E7" s="151"/>
      <c r="F7" s="358" t="s">
        <v>191</v>
      </c>
      <c r="G7" s="359"/>
      <c r="H7" s="359"/>
      <c r="I7" s="359"/>
      <c r="J7" s="360"/>
    </row>
    <row r="8" spans="1:10" ht="21" customHeight="1" x14ac:dyDescent="0.25">
      <c r="A8" s="153" t="s">
        <v>68</v>
      </c>
      <c r="B8" s="149" t="s">
        <v>69</v>
      </c>
      <c r="C8" s="150"/>
      <c r="D8" s="193"/>
      <c r="E8" s="151"/>
      <c r="F8" s="358" t="s">
        <v>147</v>
      </c>
      <c r="G8" s="359"/>
      <c r="H8" s="359"/>
      <c r="I8" s="359"/>
      <c r="J8" s="360"/>
    </row>
    <row r="9" spans="1:10" ht="21" customHeight="1" x14ac:dyDescent="0.25">
      <c r="A9" s="153" t="s">
        <v>70</v>
      </c>
      <c r="B9" s="154" t="s">
        <v>71</v>
      </c>
      <c r="C9" s="154"/>
      <c r="D9" s="154"/>
      <c r="E9" s="155"/>
      <c r="F9" s="375" t="s">
        <v>192</v>
      </c>
      <c r="G9" s="376"/>
      <c r="H9" s="376"/>
      <c r="I9" s="376"/>
      <c r="J9" s="377"/>
    </row>
    <row r="10" spans="1:10" ht="21" customHeight="1" x14ac:dyDescent="0.25">
      <c r="A10" s="156"/>
      <c r="B10" s="157" t="s">
        <v>72</v>
      </c>
      <c r="C10" s="157"/>
      <c r="D10" s="157"/>
      <c r="E10" s="158"/>
      <c r="F10" s="378"/>
      <c r="G10" s="379"/>
      <c r="H10" s="379"/>
      <c r="I10" s="379"/>
      <c r="J10" s="380"/>
    </row>
    <row r="11" spans="1:10" ht="21" customHeight="1" x14ac:dyDescent="0.25">
      <c r="A11" s="153">
        <v>3</v>
      </c>
      <c r="B11" s="159" t="s">
        <v>73</v>
      </c>
      <c r="C11" s="154"/>
      <c r="D11" s="154"/>
      <c r="E11" s="160"/>
      <c r="F11" s="375" t="s">
        <v>169</v>
      </c>
      <c r="G11" s="376"/>
      <c r="H11" s="376"/>
      <c r="I11" s="376"/>
      <c r="J11" s="377"/>
    </row>
    <row r="12" spans="1:10" ht="21" customHeight="1" x14ac:dyDescent="0.25">
      <c r="A12" s="156"/>
      <c r="B12" s="161"/>
      <c r="C12" s="162"/>
      <c r="D12" s="162"/>
      <c r="E12" s="163"/>
      <c r="F12" s="396"/>
      <c r="G12" s="397"/>
      <c r="H12" s="397"/>
      <c r="I12" s="397"/>
      <c r="J12" s="398"/>
    </row>
    <row r="13" spans="1:10" ht="21" customHeight="1" x14ac:dyDescent="0.25">
      <c r="A13" s="153">
        <v>4</v>
      </c>
      <c r="B13" s="159" t="s">
        <v>53</v>
      </c>
      <c r="C13" s="154"/>
      <c r="D13" s="164"/>
      <c r="E13" s="154"/>
      <c r="F13" s="399" t="s">
        <v>193</v>
      </c>
      <c r="G13" s="400"/>
      <c r="H13" s="400"/>
      <c r="I13" s="400"/>
      <c r="J13" s="401"/>
    </row>
    <row r="14" spans="1:10" ht="21" customHeight="1" x14ac:dyDescent="0.25">
      <c r="A14" s="156"/>
      <c r="B14" s="161"/>
      <c r="C14" s="162"/>
      <c r="D14" s="165"/>
      <c r="E14" s="162"/>
      <c r="F14" s="402" t="s">
        <v>194</v>
      </c>
      <c r="G14" s="403"/>
      <c r="H14" s="403"/>
      <c r="I14" s="403"/>
      <c r="J14" s="404"/>
    </row>
    <row r="15" spans="1:10" ht="21" customHeight="1" x14ac:dyDescent="0.25">
      <c r="A15" s="152">
        <v>5</v>
      </c>
      <c r="B15" s="149" t="s">
        <v>74</v>
      </c>
      <c r="C15" s="150"/>
      <c r="D15" s="150"/>
      <c r="E15" s="166"/>
      <c r="F15" s="406">
        <v>46042</v>
      </c>
      <c r="G15" s="407"/>
      <c r="H15" s="407"/>
      <c r="I15" s="407"/>
      <c r="J15" s="408"/>
    </row>
    <row r="16" spans="1:10" ht="21" customHeight="1" x14ac:dyDescent="0.25">
      <c r="A16" s="153" t="s">
        <v>75</v>
      </c>
      <c r="B16" s="159" t="s">
        <v>76</v>
      </c>
      <c r="C16" s="154"/>
      <c r="D16" s="154"/>
      <c r="E16" s="167"/>
      <c r="F16" s="422"/>
      <c r="G16" s="423"/>
      <c r="H16" s="423"/>
      <c r="I16" s="423"/>
      <c r="J16" s="424"/>
    </row>
    <row r="17" spans="1:10" ht="21" customHeight="1" x14ac:dyDescent="0.25">
      <c r="A17" s="156" t="s">
        <v>68</v>
      </c>
      <c r="B17" s="161" t="s">
        <v>77</v>
      </c>
      <c r="C17" s="162"/>
      <c r="D17" s="162"/>
      <c r="E17" s="168"/>
      <c r="F17" s="364" t="s">
        <v>148</v>
      </c>
      <c r="G17" s="365"/>
      <c r="H17" s="365"/>
      <c r="I17" s="420">
        <v>46042</v>
      </c>
      <c r="J17" s="421"/>
    </row>
    <row r="18" spans="1:10" ht="21" customHeight="1" x14ac:dyDescent="0.25">
      <c r="A18" s="156" t="s">
        <v>70</v>
      </c>
      <c r="B18" s="409" t="s">
        <v>78</v>
      </c>
      <c r="C18" s="371"/>
      <c r="D18" s="371"/>
      <c r="E18" s="405"/>
      <c r="F18" s="410">
        <v>70</v>
      </c>
      <c r="G18" s="411"/>
      <c r="H18" s="411"/>
      <c r="I18" s="412" t="str">
        <f>PCK!F27</f>
        <v>PALLET</v>
      </c>
      <c r="J18" s="413"/>
    </row>
    <row r="19" spans="1:10" ht="21" customHeight="1" x14ac:dyDescent="0.25">
      <c r="A19" s="156" t="s">
        <v>79</v>
      </c>
      <c r="B19" s="161" t="s">
        <v>80</v>
      </c>
      <c r="C19" s="162"/>
      <c r="D19" s="162"/>
      <c r="E19" s="168"/>
      <c r="F19" s="364" t="s">
        <v>195</v>
      </c>
      <c r="G19" s="365"/>
      <c r="H19" s="365"/>
      <c r="I19" s="365"/>
      <c r="J19" s="366"/>
    </row>
    <row r="20" spans="1:10" ht="21" customHeight="1" x14ac:dyDescent="0.25">
      <c r="A20" s="152" t="s">
        <v>81</v>
      </c>
      <c r="B20" s="370" t="s">
        <v>54</v>
      </c>
      <c r="C20" s="371"/>
      <c r="D20" s="371"/>
      <c r="E20" s="405"/>
      <c r="F20" s="358" t="s">
        <v>196</v>
      </c>
      <c r="G20" s="359"/>
      <c r="H20" s="359"/>
      <c r="I20" s="359"/>
      <c r="J20" s="360"/>
    </row>
    <row r="21" spans="1:10" ht="21" customHeight="1" x14ac:dyDescent="0.25">
      <c r="A21" s="152" t="s">
        <v>68</v>
      </c>
      <c r="B21" s="149" t="s">
        <v>55</v>
      </c>
      <c r="C21" s="150"/>
      <c r="D21" s="150"/>
      <c r="E21" s="151"/>
      <c r="F21" s="358" t="s">
        <v>197</v>
      </c>
      <c r="G21" s="359"/>
      <c r="H21" s="359"/>
      <c r="I21" s="359"/>
      <c r="J21" s="360"/>
    </row>
    <row r="22" spans="1:10" ht="21" customHeight="1" x14ac:dyDescent="0.25">
      <c r="A22" s="169" t="s">
        <v>82</v>
      </c>
      <c r="B22" s="159" t="s">
        <v>56</v>
      </c>
      <c r="C22" s="154"/>
      <c r="D22" s="154"/>
      <c r="E22" s="167"/>
      <c r="F22" s="399" t="s">
        <v>150</v>
      </c>
      <c r="G22" s="400"/>
      <c r="H22" s="400"/>
      <c r="I22" s="400"/>
      <c r="J22" s="401"/>
    </row>
    <row r="23" spans="1:10" ht="21" customHeight="1" x14ac:dyDescent="0.25">
      <c r="A23" s="169"/>
      <c r="B23" s="170"/>
      <c r="C23" s="157"/>
      <c r="D23" s="157"/>
      <c r="E23" s="158"/>
      <c r="F23" s="464" t="s">
        <v>151</v>
      </c>
      <c r="G23" s="362"/>
      <c r="H23" s="362"/>
      <c r="I23" s="362"/>
      <c r="J23" s="363"/>
    </row>
    <row r="24" spans="1:10" ht="21" customHeight="1" x14ac:dyDescent="0.25">
      <c r="A24" s="169"/>
      <c r="B24" s="170"/>
      <c r="C24" s="157"/>
      <c r="D24" s="157"/>
      <c r="E24" s="158"/>
      <c r="F24" s="361"/>
      <c r="G24" s="362"/>
      <c r="H24" s="362"/>
      <c r="I24" s="362"/>
      <c r="J24" s="363"/>
    </row>
    <row r="25" spans="1:10" ht="21" customHeight="1" x14ac:dyDescent="0.25">
      <c r="A25" s="169"/>
      <c r="B25" s="170"/>
      <c r="C25" s="157"/>
      <c r="D25" s="157"/>
      <c r="E25" s="158"/>
      <c r="F25" s="361"/>
      <c r="G25" s="362"/>
      <c r="H25" s="362"/>
      <c r="I25" s="362"/>
      <c r="J25" s="363"/>
    </row>
    <row r="26" spans="1:10" ht="21" customHeight="1" x14ac:dyDescent="0.25">
      <c r="A26" s="171"/>
      <c r="B26" s="161"/>
      <c r="C26" s="162"/>
      <c r="D26" s="162"/>
      <c r="E26" s="163"/>
      <c r="F26" s="402"/>
      <c r="G26" s="403"/>
      <c r="H26" s="403"/>
      <c r="I26" s="403"/>
      <c r="J26" s="404"/>
    </row>
    <row r="27" spans="1:10" ht="21" customHeight="1" x14ac:dyDescent="0.25">
      <c r="A27" s="153" t="s">
        <v>83</v>
      </c>
      <c r="B27" s="159" t="s">
        <v>57</v>
      </c>
      <c r="C27" s="154"/>
      <c r="D27" s="154"/>
      <c r="E27" s="154"/>
      <c r="F27" s="367" t="s">
        <v>135</v>
      </c>
      <c r="G27" s="368"/>
      <c r="H27" s="368"/>
      <c r="I27" s="368"/>
      <c r="J27" s="369"/>
    </row>
    <row r="28" spans="1:10" ht="21" customHeight="1" x14ac:dyDescent="0.25">
      <c r="A28" s="156"/>
      <c r="B28" s="161" t="s">
        <v>84</v>
      </c>
      <c r="C28" s="162"/>
      <c r="D28" s="162"/>
      <c r="E28" s="162"/>
      <c r="F28" s="364"/>
      <c r="G28" s="365"/>
      <c r="H28" s="365"/>
      <c r="I28" s="365"/>
      <c r="J28" s="366"/>
    </row>
    <row r="29" spans="1:10" ht="21" customHeight="1" x14ac:dyDescent="0.25">
      <c r="A29" s="152" t="s">
        <v>68</v>
      </c>
      <c r="B29" s="172" t="s">
        <v>58</v>
      </c>
      <c r="C29" s="173"/>
      <c r="D29" s="173"/>
      <c r="E29" s="173"/>
      <c r="F29" s="358" t="s">
        <v>135</v>
      </c>
      <c r="G29" s="359"/>
      <c r="H29" s="359"/>
      <c r="I29" s="359"/>
      <c r="J29" s="360"/>
    </row>
    <row r="30" spans="1:10" ht="21" customHeight="1" x14ac:dyDescent="0.25">
      <c r="A30" s="152" t="s">
        <v>70</v>
      </c>
      <c r="B30" s="172" t="s">
        <v>59</v>
      </c>
      <c r="C30" s="173"/>
      <c r="D30" s="173"/>
      <c r="E30" s="173"/>
      <c r="F30" s="358" t="s">
        <v>88</v>
      </c>
      <c r="G30" s="359"/>
      <c r="H30" s="359"/>
      <c r="I30" s="359"/>
      <c r="J30" s="360"/>
    </row>
    <row r="31" spans="1:10" ht="21" customHeight="1" x14ac:dyDescent="0.25">
      <c r="A31" s="152" t="s">
        <v>85</v>
      </c>
      <c r="B31" s="174" t="s">
        <v>86</v>
      </c>
      <c r="C31" s="173"/>
      <c r="D31" s="173"/>
      <c r="E31" s="173"/>
      <c r="F31" s="372" t="s">
        <v>198</v>
      </c>
      <c r="G31" s="373"/>
      <c r="H31" s="373"/>
      <c r="I31" s="373"/>
      <c r="J31" s="374"/>
    </row>
    <row r="32" spans="1:10" ht="21" customHeight="1" x14ac:dyDescent="0.25">
      <c r="A32" s="153" t="s">
        <v>68</v>
      </c>
      <c r="B32" s="370" t="s">
        <v>60</v>
      </c>
      <c r="C32" s="371"/>
      <c r="D32" s="371"/>
      <c r="E32" s="371"/>
      <c r="F32" s="372" t="s">
        <v>161</v>
      </c>
      <c r="G32" s="373"/>
      <c r="H32" s="373"/>
      <c r="I32" s="373"/>
      <c r="J32" s="374"/>
    </row>
    <row r="33" spans="1:10" ht="21" customHeight="1" x14ac:dyDescent="0.25">
      <c r="A33" s="153" t="s">
        <v>70</v>
      </c>
      <c r="B33" s="172" t="s">
        <v>61</v>
      </c>
      <c r="C33" s="173"/>
      <c r="D33" s="173"/>
      <c r="E33" s="173"/>
      <c r="F33" s="428" t="s">
        <v>199</v>
      </c>
      <c r="G33" s="429"/>
      <c r="H33" s="429"/>
      <c r="I33" s="429"/>
      <c r="J33" s="430"/>
    </row>
    <row r="34" spans="1:10" ht="21" customHeight="1" x14ac:dyDescent="0.25">
      <c r="A34" s="153" t="s">
        <v>79</v>
      </c>
      <c r="B34" s="431" t="s">
        <v>87</v>
      </c>
      <c r="C34" s="432"/>
      <c r="D34" s="433"/>
      <c r="E34" s="192"/>
      <c r="F34" s="372" t="s">
        <v>200</v>
      </c>
      <c r="G34" s="373"/>
      <c r="H34" s="373"/>
      <c r="I34" s="373"/>
      <c r="J34" s="374"/>
    </row>
    <row r="35" spans="1:10" ht="32.25" customHeight="1" x14ac:dyDescent="0.25">
      <c r="A35" s="175">
        <v>10</v>
      </c>
      <c r="B35" s="434" t="s">
        <v>127</v>
      </c>
      <c r="C35" s="435"/>
      <c r="D35" s="435"/>
      <c r="E35" s="435"/>
      <c r="F35" s="435"/>
      <c r="G35" s="435"/>
      <c r="H35" s="435"/>
      <c r="I35" s="435"/>
      <c r="J35" s="436"/>
    </row>
    <row r="36" spans="1:10" ht="19.5" customHeight="1" x14ac:dyDescent="0.25">
      <c r="A36" s="176"/>
      <c r="B36" s="437" t="s">
        <v>128</v>
      </c>
      <c r="C36" s="438"/>
      <c r="D36" s="438"/>
      <c r="E36" s="438"/>
      <c r="F36" s="438"/>
      <c r="G36" s="438"/>
      <c r="H36" s="438"/>
      <c r="I36" s="438"/>
      <c r="J36" s="439"/>
    </row>
    <row r="37" spans="1:10" x14ac:dyDescent="0.25">
      <c r="A37" s="76" t="s">
        <v>134</v>
      </c>
      <c r="B37" s="24"/>
      <c r="C37" s="24"/>
      <c r="D37" s="24"/>
      <c r="E37" s="24"/>
      <c r="F37" s="24"/>
      <c r="G37" s="24"/>
      <c r="H37" s="24"/>
      <c r="I37" s="24"/>
      <c r="J37" s="25"/>
    </row>
    <row r="38" spans="1:10" x14ac:dyDescent="0.25">
      <c r="A38" s="425" t="s">
        <v>129</v>
      </c>
      <c r="B38" s="426"/>
      <c r="C38" s="426"/>
      <c r="D38" s="426"/>
      <c r="E38" s="426"/>
      <c r="F38" s="426"/>
      <c r="G38" s="426"/>
      <c r="H38" s="426"/>
      <c r="I38" s="426"/>
      <c r="J38" s="427"/>
    </row>
    <row r="39" spans="1:10" x14ac:dyDescent="0.25">
      <c r="A39" s="26"/>
      <c r="B39" s="27"/>
      <c r="C39" s="27"/>
      <c r="D39" s="27"/>
      <c r="E39" s="222" t="s">
        <v>63</v>
      </c>
      <c r="F39" s="27"/>
      <c r="G39" s="27"/>
      <c r="H39" s="27"/>
      <c r="I39" s="27"/>
      <c r="J39" s="28"/>
    </row>
    <row r="40" spans="1:10" x14ac:dyDescent="0.25">
      <c r="A40" s="29"/>
      <c r="B40" s="30"/>
      <c r="C40" s="30"/>
      <c r="D40" s="30"/>
      <c r="E40" s="223" t="s">
        <v>168</v>
      </c>
      <c r="F40" s="30"/>
      <c r="G40" s="30"/>
      <c r="H40" s="30"/>
      <c r="I40" s="30"/>
      <c r="J40" s="31"/>
    </row>
    <row r="41" spans="1:10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1"/>
    </row>
    <row r="42" spans="1:10" x14ac:dyDescent="0.25">
      <c r="A42" s="29"/>
      <c r="B42" s="30"/>
      <c r="C42" s="30"/>
      <c r="D42" s="30"/>
      <c r="E42" s="30"/>
      <c r="F42" s="30"/>
      <c r="G42" s="30"/>
      <c r="H42" s="30"/>
      <c r="I42" s="30"/>
      <c r="J42" s="31"/>
    </row>
    <row r="43" spans="1:10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1"/>
    </row>
    <row r="44" spans="1:10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1"/>
    </row>
    <row r="45" spans="1:10" x14ac:dyDescent="0.25">
      <c r="A45" s="29"/>
      <c r="B45" s="30"/>
      <c r="C45" s="30"/>
      <c r="D45" s="30"/>
      <c r="E45" s="30"/>
      <c r="F45" s="30"/>
      <c r="G45" s="30"/>
      <c r="H45" s="30"/>
      <c r="I45" s="30"/>
      <c r="J45" s="31"/>
    </row>
    <row r="46" spans="1:10" x14ac:dyDescent="0.25">
      <c r="A46" s="414"/>
      <c r="B46" s="415"/>
      <c r="C46" s="415"/>
      <c r="D46" s="415"/>
      <c r="E46" s="415"/>
      <c r="F46" s="415"/>
      <c r="G46" s="415"/>
      <c r="H46" s="415"/>
      <c r="I46" s="415"/>
      <c r="J46" s="416"/>
    </row>
    <row r="47" spans="1:10" x14ac:dyDescent="0.25">
      <c r="A47" s="417"/>
      <c r="B47" s="418"/>
      <c r="C47" s="418"/>
      <c r="D47" s="418"/>
      <c r="E47" s="418"/>
      <c r="F47" s="418"/>
      <c r="G47" s="418"/>
      <c r="H47" s="418"/>
      <c r="I47" s="418"/>
      <c r="J47" s="419"/>
    </row>
    <row r="48" spans="1:10" x14ac:dyDescent="0.25">
      <c r="A48" s="417"/>
      <c r="B48" s="418"/>
      <c r="C48" s="418"/>
      <c r="D48" s="418"/>
      <c r="E48" s="418"/>
      <c r="F48" s="418"/>
      <c r="G48" s="418"/>
      <c r="H48" s="418"/>
      <c r="I48" s="418"/>
      <c r="J48" s="419"/>
    </row>
    <row r="49" spans="1:10" ht="15.75" thickBot="1" x14ac:dyDescent="0.3">
      <c r="A49" s="32"/>
      <c r="B49" s="33"/>
      <c r="C49" s="33"/>
      <c r="D49" s="33"/>
      <c r="E49" s="33"/>
      <c r="F49" s="33"/>
      <c r="G49" s="33"/>
      <c r="H49" s="33"/>
      <c r="I49" s="33"/>
      <c r="J49" s="34"/>
    </row>
  </sheetData>
  <mergeCells count="41">
    <mergeCell ref="F33:J33"/>
    <mergeCell ref="F34:J34"/>
    <mergeCell ref="B34:D34"/>
    <mergeCell ref="F21:J21"/>
    <mergeCell ref="B35:J35"/>
    <mergeCell ref="B36:J36"/>
    <mergeCell ref="A46:J46"/>
    <mergeCell ref="A47:J47"/>
    <mergeCell ref="A48:J48"/>
    <mergeCell ref="F22:J22"/>
    <mergeCell ref="F26:J26"/>
    <mergeCell ref="F7:J7"/>
    <mergeCell ref="I17:J17"/>
    <mergeCell ref="F16:J16"/>
    <mergeCell ref="F17:H17"/>
    <mergeCell ref="A38:J38"/>
    <mergeCell ref="F11:J12"/>
    <mergeCell ref="F13:J13"/>
    <mergeCell ref="F14:J14"/>
    <mergeCell ref="B20:E20"/>
    <mergeCell ref="F15:J15"/>
    <mergeCell ref="F20:J20"/>
    <mergeCell ref="B18:E18"/>
    <mergeCell ref="F18:H18"/>
    <mergeCell ref="I18:J18"/>
    <mergeCell ref="A1:J1"/>
    <mergeCell ref="A2:J2"/>
    <mergeCell ref="A3:J3"/>
    <mergeCell ref="A4:J4"/>
    <mergeCell ref="A5:J5"/>
    <mergeCell ref="F6:J6"/>
    <mergeCell ref="F8:J8"/>
    <mergeCell ref="F23:J25"/>
    <mergeCell ref="F19:J19"/>
    <mergeCell ref="F27:J28"/>
    <mergeCell ref="B32:E32"/>
    <mergeCell ref="F29:J29"/>
    <mergeCell ref="F30:J30"/>
    <mergeCell ref="F31:J31"/>
    <mergeCell ref="F32:J32"/>
    <mergeCell ref="F9:J10"/>
  </mergeCells>
  <printOptions horizontalCentered="1"/>
  <pageMargins left="0.51181102362204722" right="0.23622047244094491" top="0.11811023622047245" bottom="0" header="0" footer="0"/>
  <pageSetup scale="8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9CA6-4312-41F9-A08E-50F831C5051F}">
  <dimension ref="A1:J39"/>
  <sheetViews>
    <sheetView topLeftCell="A4" zoomScaleNormal="100" workbookViewId="0">
      <selection activeCell="E9" sqref="E9"/>
    </sheetView>
  </sheetViews>
  <sheetFormatPr defaultRowHeight="15" x14ac:dyDescent="0.25"/>
  <cols>
    <col min="1" max="1" width="6.5703125" bestFit="1" customWidth="1"/>
    <col min="2" max="2" width="57.28515625" customWidth="1"/>
    <col min="3" max="3" width="49.28515625" customWidth="1"/>
  </cols>
  <sheetData>
    <row r="1" spans="1:10" ht="28.5" x14ac:dyDescent="0.45">
      <c r="B1" s="440" t="s">
        <v>140</v>
      </c>
      <c r="C1" s="440"/>
      <c r="D1" s="35"/>
    </row>
    <row r="2" spans="1:10" ht="15.75" x14ac:dyDescent="0.25">
      <c r="B2" s="441" t="s">
        <v>193</v>
      </c>
      <c r="C2" s="441"/>
      <c r="D2" s="21"/>
    </row>
    <row r="3" spans="1:10" ht="15.75" x14ac:dyDescent="0.25">
      <c r="B3" s="441" t="s">
        <v>194</v>
      </c>
      <c r="C3" s="441"/>
      <c r="D3" s="21"/>
    </row>
    <row r="5" spans="1:10" x14ac:dyDescent="0.25">
      <c r="A5" s="36"/>
      <c r="B5" s="36"/>
      <c r="C5" s="36"/>
    </row>
    <row r="8" spans="1:10" ht="20.25" x14ac:dyDescent="0.35">
      <c r="A8" s="37"/>
      <c r="B8" s="442" t="s">
        <v>133</v>
      </c>
      <c r="C8" s="442"/>
    </row>
    <row r="9" spans="1:10" x14ac:dyDescent="0.25">
      <c r="A9" s="443" t="s">
        <v>89</v>
      </c>
      <c r="B9" s="443"/>
      <c r="C9" s="443"/>
    </row>
    <row r="10" spans="1:10" x14ac:dyDescent="0.25">
      <c r="A10" s="443"/>
      <c r="B10" s="443"/>
      <c r="C10" s="443"/>
    </row>
    <row r="11" spans="1:10" ht="15.75" thickBot="1" x14ac:dyDescent="0.3"/>
    <row r="12" spans="1:10" ht="15.75" thickBot="1" x14ac:dyDescent="0.3">
      <c r="A12" s="38" t="s">
        <v>90</v>
      </c>
      <c r="B12" s="38" t="s">
        <v>91</v>
      </c>
      <c r="C12" s="38" t="s">
        <v>92</v>
      </c>
      <c r="D12" s="39"/>
      <c r="E12" s="39"/>
      <c r="F12" s="39"/>
      <c r="G12" s="39"/>
      <c r="H12" s="39"/>
      <c r="I12" s="39"/>
      <c r="J12" s="39"/>
    </row>
    <row r="13" spans="1:10" ht="24.95" customHeight="1" x14ac:dyDescent="0.25">
      <c r="A13" s="40">
        <v>1</v>
      </c>
      <c r="B13" s="120" t="s">
        <v>93</v>
      </c>
      <c r="C13" s="121" t="s">
        <v>140</v>
      </c>
      <c r="D13" s="39"/>
      <c r="E13" s="39"/>
      <c r="F13" s="39"/>
      <c r="G13" s="39"/>
      <c r="H13" s="39"/>
      <c r="I13" s="39"/>
      <c r="J13" s="39"/>
    </row>
    <row r="14" spans="1:10" ht="24.95" customHeight="1" x14ac:dyDescent="0.25">
      <c r="A14" s="41">
        <v>2</v>
      </c>
      <c r="B14" s="49" t="s">
        <v>94</v>
      </c>
      <c r="C14" s="119" t="s">
        <v>191</v>
      </c>
      <c r="D14" s="39"/>
      <c r="E14" s="39"/>
      <c r="F14" s="39"/>
      <c r="G14" s="39"/>
      <c r="H14" s="39"/>
      <c r="I14" s="39"/>
      <c r="J14" s="39"/>
    </row>
    <row r="15" spans="1:10" ht="39" customHeight="1" x14ac:dyDescent="0.25">
      <c r="A15" s="42">
        <v>3</v>
      </c>
      <c r="B15" s="43" t="s">
        <v>95</v>
      </c>
      <c r="C15" s="44" t="s">
        <v>201</v>
      </c>
      <c r="D15" s="39"/>
      <c r="E15" s="39"/>
      <c r="F15" s="39"/>
      <c r="G15" s="39"/>
      <c r="H15" s="39"/>
      <c r="I15" s="39"/>
      <c r="J15" s="39"/>
    </row>
    <row r="16" spans="1:10" ht="24.95" customHeight="1" x14ac:dyDescent="0.25">
      <c r="A16" s="40">
        <v>4</v>
      </c>
      <c r="B16" s="122" t="s">
        <v>96</v>
      </c>
      <c r="C16" s="123" t="s">
        <v>202</v>
      </c>
      <c r="D16" s="39"/>
      <c r="E16" s="39"/>
      <c r="F16" s="39"/>
      <c r="G16" s="39"/>
      <c r="H16" s="39"/>
      <c r="I16" s="39"/>
      <c r="J16" s="39"/>
    </row>
    <row r="17" spans="1:10" ht="24.95" customHeight="1" x14ac:dyDescent="0.25">
      <c r="A17" s="45">
        <v>5</v>
      </c>
      <c r="B17" s="124" t="s">
        <v>97</v>
      </c>
      <c r="C17" s="125" t="s">
        <v>161</v>
      </c>
      <c r="D17" s="39"/>
      <c r="E17" s="39"/>
      <c r="F17" s="39"/>
      <c r="G17" s="39"/>
      <c r="H17" s="39"/>
      <c r="I17" s="39"/>
      <c r="J17" s="39"/>
    </row>
    <row r="18" spans="1:10" ht="24.95" customHeight="1" x14ac:dyDescent="0.25">
      <c r="A18" s="41">
        <v>6</v>
      </c>
      <c r="B18" s="49" t="s">
        <v>98</v>
      </c>
      <c r="C18" s="123" t="s">
        <v>199</v>
      </c>
      <c r="D18" s="39"/>
      <c r="E18" s="39"/>
      <c r="F18" s="39"/>
      <c r="G18" s="39"/>
      <c r="H18" s="39"/>
      <c r="I18" s="39"/>
      <c r="J18" s="39"/>
    </row>
    <row r="19" spans="1:10" ht="24.95" customHeight="1" x14ac:dyDescent="0.25">
      <c r="A19" s="45">
        <v>7</v>
      </c>
      <c r="B19" s="124" t="s">
        <v>99</v>
      </c>
      <c r="C19" s="44" t="s">
        <v>203</v>
      </c>
      <c r="D19" s="39"/>
      <c r="E19" s="39"/>
      <c r="F19" s="39"/>
      <c r="G19" s="39"/>
      <c r="H19" s="39"/>
      <c r="I19" s="39"/>
      <c r="J19" s="39"/>
    </row>
    <row r="20" spans="1:10" ht="24.95" customHeight="1" x14ac:dyDescent="0.25">
      <c r="A20" s="444">
        <v>8</v>
      </c>
      <c r="B20" s="49" t="s">
        <v>100</v>
      </c>
      <c r="C20" s="446" t="s">
        <v>205</v>
      </c>
      <c r="D20" s="39"/>
      <c r="E20" s="39"/>
      <c r="F20" s="39"/>
      <c r="G20" s="39"/>
      <c r="H20" s="39"/>
      <c r="I20" s="39"/>
      <c r="J20" s="39"/>
    </row>
    <row r="21" spans="1:10" ht="24.95" customHeight="1" x14ac:dyDescent="0.25">
      <c r="A21" s="445"/>
      <c r="B21" s="122" t="s">
        <v>204</v>
      </c>
      <c r="C21" s="447"/>
      <c r="D21" s="39"/>
      <c r="E21" s="39"/>
      <c r="F21" s="39"/>
      <c r="G21" s="39"/>
      <c r="H21" s="39"/>
      <c r="I21" s="39"/>
      <c r="J21" s="39"/>
    </row>
    <row r="22" spans="1:10" ht="24.95" customHeight="1" x14ac:dyDescent="0.25">
      <c r="A22" s="40"/>
      <c r="B22" s="122"/>
      <c r="C22" s="126"/>
      <c r="D22" s="39"/>
      <c r="E22" s="39"/>
      <c r="F22" s="39"/>
      <c r="G22" s="39"/>
      <c r="H22" s="39"/>
      <c r="I22" s="39"/>
      <c r="J22" s="39"/>
    </row>
    <row r="23" spans="1:10" ht="24.95" customHeight="1" x14ac:dyDescent="0.25">
      <c r="A23" s="40">
        <v>9</v>
      </c>
      <c r="B23" s="122" t="s">
        <v>101</v>
      </c>
      <c r="C23" s="127">
        <v>46042</v>
      </c>
      <c r="D23" s="39"/>
      <c r="E23" s="39"/>
      <c r="F23" s="39"/>
      <c r="G23" s="39"/>
      <c r="H23" s="39"/>
      <c r="I23" s="39"/>
      <c r="J23" s="39"/>
    </row>
    <row r="24" spans="1:10" ht="24.95" customHeight="1" thickBot="1" x14ac:dyDescent="0.3">
      <c r="A24" s="41">
        <v>10</v>
      </c>
      <c r="B24" s="49" t="s">
        <v>102</v>
      </c>
      <c r="C24" s="119"/>
      <c r="D24" s="39"/>
      <c r="E24" s="39"/>
      <c r="F24" s="39"/>
      <c r="G24" s="39"/>
      <c r="H24" s="39"/>
      <c r="I24" s="39"/>
      <c r="J24" s="39"/>
    </row>
    <row r="25" spans="1:10" ht="67.5" customHeight="1" thickBot="1" x14ac:dyDescent="0.3">
      <c r="A25" s="48">
        <v>11</v>
      </c>
      <c r="B25" s="129" t="s">
        <v>103</v>
      </c>
      <c r="C25" s="234" t="s">
        <v>206</v>
      </c>
      <c r="D25" s="39"/>
      <c r="E25" s="39"/>
      <c r="F25" s="39"/>
      <c r="G25" s="39"/>
      <c r="H25" s="39"/>
      <c r="I25" s="39"/>
      <c r="J25" s="39"/>
    </row>
    <row r="26" spans="1:10" ht="24.95" customHeight="1" x14ac:dyDescent="0.25">
      <c r="A26" s="40">
        <v>12</v>
      </c>
      <c r="B26" s="122" t="s">
        <v>104</v>
      </c>
      <c r="C26" s="126" t="s">
        <v>105</v>
      </c>
      <c r="D26" s="39"/>
      <c r="E26" s="39"/>
      <c r="F26" s="39"/>
      <c r="G26" s="39"/>
      <c r="H26" s="39"/>
      <c r="I26" s="39"/>
      <c r="J26" s="39"/>
    </row>
    <row r="27" spans="1:10" ht="24.95" customHeight="1" thickBot="1" x14ac:dyDescent="0.3">
      <c r="A27" s="50">
        <v>13</v>
      </c>
      <c r="B27" s="128" t="s">
        <v>106</v>
      </c>
      <c r="C27" s="58" t="s">
        <v>107</v>
      </c>
      <c r="D27" s="39"/>
      <c r="E27" s="39"/>
      <c r="F27" s="39"/>
      <c r="G27" s="39"/>
      <c r="H27" s="39"/>
      <c r="I27" s="39"/>
      <c r="J27" s="39"/>
    </row>
    <row r="28" spans="1:10" x14ac:dyDescent="0.25">
      <c r="A28" s="51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5">
      <c r="A29" s="52"/>
      <c r="B29" s="39"/>
      <c r="C29" s="53" t="s">
        <v>168</v>
      </c>
      <c r="D29" s="39"/>
      <c r="E29" s="39"/>
      <c r="F29" s="39"/>
      <c r="G29" s="39"/>
      <c r="H29" s="39"/>
      <c r="I29" s="39"/>
      <c r="J29" s="39"/>
    </row>
    <row r="30" spans="1:10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</row>
    <row r="31" spans="1:10" x14ac:dyDescent="0.25">
      <c r="A31" s="39"/>
      <c r="B31" s="39"/>
      <c r="D31" s="39"/>
      <c r="E31" s="39"/>
      <c r="F31" s="39"/>
      <c r="G31" s="39"/>
      <c r="H31" s="39"/>
      <c r="I31" s="39"/>
      <c r="J31" s="39"/>
    </row>
    <row r="32" spans="1:10" x14ac:dyDescent="0.25">
      <c r="A32" s="54"/>
      <c r="B32" s="39"/>
      <c r="C32" s="39"/>
      <c r="D32" s="39"/>
      <c r="E32" s="39"/>
      <c r="F32" s="39"/>
      <c r="G32" s="39"/>
      <c r="H32" s="39"/>
      <c r="I32" s="39"/>
      <c r="J32" s="39"/>
    </row>
    <row r="33" spans="1:10" x14ac:dyDescent="0.25">
      <c r="A33" s="39"/>
      <c r="B33" s="39"/>
      <c r="C33" s="53"/>
      <c r="D33" s="39"/>
      <c r="E33" s="39"/>
      <c r="F33" s="39"/>
      <c r="G33" s="39"/>
      <c r="H33" s="39"/>
      <c r="I33" s="39"/>
      <c r="J33" s="39"/>
    </row>
    <row r="34" spans="1:10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5">
      <c r="D37" s="39"/>
      <c r="E37" s="39"/>
      <c r="F37" s="39"/>
      <c r="G37" s="39"/>
      <c r="H37" s="39"/>
      <c r="I37" s="39"/>
      <c r="J37" s="39"/>
    </row>
    <row r="38" spans="1:10" x14ac:dyDescent="0.25">
      <c r="D38" s="39"/>
      <c r="E38" s="39"/>
      <c r="F38" s="39"/>
      <c r="G38" s="39"/>
      <c r="H38" s="39"/>
      <c r="I38" s="39"/>
      <c r="J38" s="39"/>
    </row>
    <row r="39" spans="1:10" x14ac:dyDescent="0.25">
      <c r="D39" s="39"/>
      <c r="E39" s="39"/>
      <c r="F39" s="39"/>
      <c r="G39" s="39"/>
      <c r="H39" s="39"/>
      <c r="I39" s="39"/>
      <c r="J39" s="39"/>
    </row>
  </sheetData>
  <mergeCells count="7">
    <mergeCell ref="B1:C1"/>
    <mergeCell ref="B2:C2"/>
    <mergeCell ref="B3:C3"/>
    <mergeCell ref="B8:C8"/>
    <mergeCell ref="A9:C10"/>
    <mergeCell ref="A20:A21"/>
    <mergeCell ref="C20:C21"/>
  </mergeCells>
  <printOptions horizontalCentered="1"/>
  <pageMargins left="0.25" right="0.25" top="0.1" bottom="0" header="0.1" footer="0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4919-69F7-4DCC-A28B-9AA3AEE74F8C}">
  <dimension ref="A1:J37"/>
  <sheetViews>
    <sheetView tabSelected="1" topLeftCell="A13" zoomScaleNormal="100" workbookViewId="0">
      <selection activeCell="D20" sqref="D20"/>
    </sheetView>
  </sheetViews>
  <sheetFormatPr defaultRowHeight="15" x14ac:dyDescent="0.25"/>
  <cols>
    <col min="1" max="1" width="5.5703125" customWidth="1"/>
    <col min="2" max="2" width="10.5703125" customWidth="1"/>
    <col min="3" max="3" width="36.85546875" customWidth="1"/>
    <col min="4" max="4" width="52.42578125" customWidth="1"/>
  </cols>
  <sheetData>
    <row r="1" spans="1:10" ht="28.5" x14ac:dyDescent="0.45">
      <c r="C1" s="440" t="s">
        <v>140</v>
      </c>
      <c r="D1" s="440"/>
    </row>
    <row r="2" spans="1:10" ht="15.75" x14ac:dyDescent="0.25">
      <c r="C2" s="441" t="s">
        <v>193</v>
      </c>
      <c r="D2" s="441"/>
    </row>
    <row r="3" spans="1:10" ht="15.75" x14ac:dyDescent="0.25">
      <c r="C3" s="441" t="s">
        <v>194</v>
      </c>
      <c r="D3" s="441"/>
    </row>
    <row r="5" spans="1:10" x14ac:dyDescent="0.25">
      <c r="A5" s="36"/>
      <c r="B5" s="36"/>
      <c r="C5" s="36"/>
      <c r="D5" s="36"/>
    </row>
    <row r="6" spans="1:10" x14ac:dyDescent="0.25">
      <c r="A6" s="39"/>
      <c r="B6" s="39"/>
      <c r="C6" s="39"/>
      <c r="D6" s="39"/>
    </row>
    <row r="7" spans="1:10" x14ac:dyDescent="0.25">
      <c r="A7" s="39"/>
      <c r="B7" s="39"/>
      <c r="C7" s="39"/>
      <c r="D7" s="39"/>
    </row>
    <row r="8" spans="1:10" x14ac:dyDescent="0.25">
      <c r="A8" s="458" t="s">
        <v>108</v>
      </c>
      <c r="B8" s="458"/>
      <c r="C8" s="458"/>
      <c r="D8" s="458"/>
    </row>
    <row r="9" spans="1:10" x14ac:dyDescent="0.25">
      <c r="A9" s="458"/>
      <c r="B9" s="458"/>
      <c r="C9" s="458"/>
      <c r="D9" s="458"/>
    </row>
    <row r="10" spans="1:10" x14ac:dyDescent="0.25">
      <c r="A10" s="459" t="s">
        <v>109</v>
      </c>
      <c r="B10" s="459"/>
      <c r="C10" s="459"/>
      <c r="D10" s="459"/>
    </row>
    <row r="11" spans="1:10" ht="15.75" thickBot="1" x14ac:dyDescent="0.3"/>
    <row r="12" spans="1:10" ht="21.75" customHeight="1" x14ac:dyDescent="0.25">
      <c r="A12" s="130" t="s">
        <v>90</v>
      </c>
      <c r="B12" s="460" t="s">
        <v>91</v>
      </c>
      <c r="C12" s="461"/>
      <c r="D12" s="131" t="s">
        <v>92</v>
      </c>
      <c r="E12" s="39"/>
      <c r="F12" s="39"/>
      <c r="G12" s="39"/>
      <c r="H12" s="39"/>
      <c r="I12" s="39"/>
      <c r="J12" s="39"/>
    </row>
    <row r="13" spans="1:10" ht="24.95" customHeight="1" x14ac:dyDescent="0.25">
      <c r="A13" s="42">
        <v>1</v>
      </c>
      <c r="B13" s="450" t="s">
        <v>110</v>
      </c>
      <c r="C13" s="451"/>
      <c r="D13" s="46"/>
      <c r="E13" s="39"/>
      <c r="F13" s="39"/>
      <c r="G13" s="39"/>
      <c r="H13" s="39"/>
      <c r="I13" s="39"/>
      <c r="J13" s="39"/>
    </row>
    <row r="14" spans="1:10" ht="24.95" customHeight="1" x14ac:dyDescent="0.25">
      <c r="A14" s="42">
        <v>2</v>
      </c>
      <c r="B14" s="450" t="s">
        <v>111</v>
      </c>
      <c r="C14" s="451"/>
      <c r="D14" s="55" t="s">
        <v>207</v>
      </c>
      <c r="E14" s="39"/>
      <c r="F14" s="39"/>
      <c r="G14" s="39"/>
      <c r="H14" s="39"/>
      <c r="I14" s="39"/>
      <c r="J14" s="39"/>
    </row>
    <row r="15" spans="1:10" ht="44.25" customHeight="1" x14ac:dyDescent="0.25">
      <c r="A15" s="42">
        <v>3</v>
      </c>
      <c r="B15" s="450" t="s">
        <v>112</v>
      </c>
      <c r="C15" s="451"/>
      <c r="D15" s="62" t="s">
        <v>139</v>
      </c>
      <c r="E15" s="39"/>
      <c r="F15" s="39"/>
      <c r="G15" s="39"/>
      <c r="H15" s="39"/>
      <c r="I15" s="39"/>
      <c r="J15" s="39"/>
    </row>
    <row r="16" spans="1:10" ht="36.75" customHeight="1" x14ac:dyDescent="0.25">
      <c r="A16" s="42">
        <v>4</v>
      </c>
      <c r="B16" s="456" t="s">
        <v>113</v>
      </c>
      <c r="C16" s="457"/>
      <c r="D16" s="56" t="s">
        <v>136</v>
      </c>
      <c r="E16" s="39"/>
      <c r="F16" s="39"/>
      <c r="G16" s="39"/>
      <c r="H16" s="39"/>
      <c r="I16" s="39"/>
      <c r="J16" s="39"/>
    </row>
    <row r="17" spans="1:10" ht="24.95" customHeight="1" x14ac:dyDescent="0.25">
      <c r="A17" s="42">
        <v>5</v>
      </c>
      <c r="B17" s="450" t="s">
        <v>114</v>
      </c>
      <c r="C17" s="451"/>
      <c r="D17" s="56" t="s">
        <v>137</v>
      </c>
      <c r="E17" s="39"/>
      <c r="F17" s="39"/>
      <c r="G17" s="39"/>
      <c r="H17" s="39"/>
      <c r="I17" s="39"/>
      <c r="J17" s="39"/>
    </row>
    <row r="18" spans="1:10" ht="24.95" customHeight="1" x14ac:dyDescent="0.25">
      <c r="A18" s="42">
        <v>6</v>
      </c>
      <c r="B18" s="450" t="s">
        <v>115</v>
      </c>
      <c r="C18" s="451"/>
      <c r="D18" s="56" t="s">
        <v>138</v>
      </c>
      <c r="E18" s="39"/>
      <c r="F18" s="39"/>
      <c r="G18" s="39"/>
      <c r="H18" s="39"/>
      <c r="I18" s="39"/>
      <c r="J18" s="39"/>
    </row>
    <row r="19" spans="1:10" ht="24.95" customHeight="1" x14ac:dyDescent="0.25">
      <c r="A19" s="42">
        <v>7</v>
      </c>
      <c r="B19" s="450" t="s">
        <v>116</v>
      </c>
      <c r="C19" s="451"/>
      <c r="D19" s="46" t="s">
        <v>210</v>
      </c>
      <c r="E19" s="39"/>
      <c r="F19" s="39"/>
      <c r="G19" s="39"/>
      <c r="H19" s="39"/>
      <c r="I19" s="39"/>
      <c r="J19" s="39"/>
    </row>
    <row r="20" spans="1:10" ht="24.95" customHeight="1" x14ac:dyDescent="0.25">
      <c r="A20" s="42">
        <v>8</v>
      </c>
      <c r="B20" s="450" t="s">
        <v>117</v>
      </c>
      <c r="C20" s="451"/>
      <c r="D20" s="46" t="s">
        <v>166</v>
      </c>
      <c r="E20" s="39"/>
      <c r="F20" s="39"/>
      <c r="G20" s="39"/>
      <c r="H20" s="39"/>
      <c r="I20" s="39"/>
      <c r="J20" s="39"/>
    </row>
    <row r="21" spans="1:10" ht="40.5" customHeight="1" x14ac:dyDescent="0.25">
      <c r="A21" s="42">
        <v>9</v>
      </c>
      <c r="B21" s="452" t="s">
        <v>118</v>
      </c>
      <c r="C21" s="453"/>
      <c r="D21" s="44" t="s">
        <v>208</v>
      </c>
      <c r="E21" s="39"/>
      <c r="F21" s="39"/>
      <c r="G21" s="39"/>
      <c r="H21" s="39"/>
      <c r="I21" s="39"/>
      <c r="J21" s="39"/>
    </row>
    <row r="22" spans="1:10" ht="35.25" customHeight="1" thickBot="1" x14ac:dyDescent="0.3">
      <c r="A22" s="57">
        <v>10</v>
      </c>
      <c r="B22" s="454" t="s">
        <v>119</v>
      </c>
      <c r="C22" s="455"/>
      <c r="D22" s="58"/>
      <c r="E22" s="39"/>
      <c r="F22" s="39"/>
      <c r="G22" s="39"/>
      <c r="H22" s="39"/>
      <c r="I22" s="39"/>
      <c r="J22" s="39"/>
    </row>
    <row r="23" spans="1:10" ht="24.95" customHeight="1" x14ac:dyDescent="0.25">
      <c r="A23" s="40"/>
      <c r="B23" s="47"/>
      <c r="C23" s="47"/>
      <c r="D23" s="47"/>
      <c r="E23" s="39"/>
      <c r="F23" s="39"/>
      <c r="G23" s="39"/>
      <c r="H23" s="39"/>
      <c r="I23" s="39"/>
      <c r="J23" s="39"/>
    </row>
    <row r="24" spans="1:10" x14ac:dyDescent="0.25">
      <c r="A24" s="449" t="s">
        <v>120</v>
      </c>
      <c r="B24" s="449"/>
      <c r="C24" s="449"/>
      <c r="D24" s="449"/>
      <c r="E24" s="39"/>
      <c r="F24" s="39"/>
      <c r="G24" s="39"/>
      <c r="H24" s="39"/>
      <c r="I24" s="39"/>
      <c r="J24" s="39"/>
    </row>
    <row r="25" spans="1:10" x14ac:dyDescent="0.25">
      <c r="A25" s="449" t="s">
        <v>121</v>
      </c>
      <c r="B25" s="449"/>
      <c r="C25" s="449"/>
      <c r="D25" s="449"/>
      <c r="E25" s="39"/>
      <c r="F25" s="39"/>
      <c r="G25" s="39"/>
      <c r="H25" s="39"/>
      <c r="I25" s="39"/>
      <c r="J25" s="39"/>
    </row>
    <row r="26" spans="1:10" ht="30" customHeight="1" x14ac:dyDescent="0.25">
      <c r="A26" s="448" t="s">
        <v>126</v>
      </c>
      <c r="B26" s="448"/>
      <c r="C26" s="448"/>
      <c r="D26" s="448"/>
      <c r="E26" s="39"/>
      <c r="F26" s="39"/>
      <c r="G26" s="39"/>
      <c r="H26" s="39"/>
      <c r="I26" s="39"/>
      <c r="J26" s="39"/>
    </row>
    <row r="27" spans="1:10" x14ac:dyDescent="0.25">
      <c r="A27" s="52"/>
      <c r="B27" s="39"/>
      <c r="C27" s="39"/>
      <c r="D27" s="53"/>
      <c r="E27" s="39"/>
      <c r="F27" s="39"/>
      <c r="G27" s="39"/>
      <c r="H27" s="39"/>
      <c r="I27" s="39"/>
      <c r="J27" s="39"/>
    </row>
    <row r="28" spans="1:10" x14ac:dyDescent="0.25">
      <c r="A28" s="39"/>
      <c r="B28" s="59" t="s">
        <v>122</v>
      </c>
      <c r="C28" s="59" t="s">
        <v>209</v>
      </c>
      <c r="F28" s="39"/>
      <c r="G28" s="39"/>
      <c r="H28" s="39"/>
      <c r="I28" s="39"/>
      <c r="J28" s="39"/>
    </row>
    <row r="29" spans="1:10" x14ac:dyDescent="0.25">
      <c r="A29" s="39"/>
      <c r="B29" s="59" t="s">
        <v>123</v>
      </c>
      <c r="C29" s="60">
        <v>46042</v>
      </c>
      <c r="D29" s="59"/>
      <c r="F29" s="39"/>
      <c r="G29" s="39"/>
      <c r="H29" s="39"/>
      <c r="I29" s="39"/>
      <c r="J29" s="39"/>
    </row>
    <row r="30" spans="1:10" x14ac:dyDescent="0.25">
      <c r="A30" s="54"/>
      <c r="B30" s="59"/>
      <c r="C30" s="59"/>
      <c r="D30" s="59"/>
      <c r="F30" s="39"/>
      <c r="G30" s="39"/>
      <c r="H30" s="39"/>
      <c r="I30" s="39"/>
      <c r="J30" s="39"/>
    </row>
    <row r="31" spans="1:10" x14ac:dyDescent="0.25">
      <c r="A31" s="39"/>
      <c r="B31" s="449"/>
      <c r="C31" s="449"/>
      <c r="F31" s="39"/>
      <c r="G31" s="39"/>
      <c r="H31" s="39"/>
      <c r="I31" s="39"/>
      <c r="J31" s="39"/>
    </row>
    <row r="32" spans="1:10" x14ac:dyDescent="0.25">
      <c r="A32" s="39"/>
      <c r="F32" s="39"/>
      <c r="G32" s="39"/>
      <c r="H32" s="39"/>
      <c r="I32" s="39"/>
      <c r="J32" s="39"/>
    </row>
    <row r="33" spans="1:10" x14ac:dyDescent="0.25">
      <c r="A33" s="39"/>
      <c r="D33" t="s">
        <v>124</v>
      </c>
      <c r="F33" s="39"/>
      <c r="G33" s="39"/>
      <c r="H33" s="39"/>
      <c r="I33" s="39"/>
      <c r="J33" s="39"/>
    </row>
    <row r="34" spans="1:10" x14ac:dyDescent="0.25">
      <c r="A34" s="39"/>
      <c r="B34" s="449"/>
      <c r="C34" s="449"/>
      <c r="D34" s="59" t="s">
        <v>125</v>
      </c>
      <c r="F34" s="39"/>
      <c r="G34" s="39"/>
      <c r="H34" s="39"/>
      <c r="I34" s="39"/>
      <c r="J34" s="39"/>
    </row>
    <row r="35" spans="1:10" x14ac:dyDescent="0.25">
      <c r="B35" s="61"/>
      <c r="C35" s="61"/>
      <c r="F35" s="39"/>
      <c r="G35" s="39"/>
      <c r="H35" s="39"/>
      <c r="I35" s="39"/>
      <c r="J35" s="39"/>
    </row>
    <row r="36" spans="1:10" x14ac:dyDescent="0.25">
      <c r="E36" s="39"/>
      <c r="F36" s="39"/>
      <c r="G36" s="39"/>
      <c r="H36" s="39"/>
      <c r="I36" s="39"/>
      <c r="J36" s="39"/>
    </row>
    <row r="37" spans="1:10" x14ac:dyDescent="0.25">
      <c r="E37" s="39"/>
      <c r="F37" s="39"/>
      <c r="G37" s="39"/>
      <c r="H37" s="39"/>
      <c r="I37" s="39"/>
      <c r="J37" s="39"/>
    </row>
  </sheetData>
  <mergeCells count="21">
    <mergeCell ref="C1:D1"/>
    <mergeCell ref="C2:D2"/>
    <mergeCell ref="C3:D3"/>
    <mergeCell ref="A8:D9"/>
    <mergeCell ref="A10:D10"/>
    <mergeCell ref="B12:C12"/>
    <mergeCell ref="B13:C13"/>
    <mergeCell ref="B14:C14"/>
    <mergeCell ref="B15:C15"/>
    <mergeCell ref="B16:C16"/>
    <mergeCell ref="B17:C17"/>
    <mergeCell ref="B18:C18"/>
    <mergeCell ref="A26:D26"/>
    <mergeCell ref="B31:C31"/>
    <mergeCell ref="B34:C34"/>
    <mergeCell ref="B19:C19"/>
    <mergeCell ref="B20:C20"/>
    <mergeCell ref="B21:C21"/>
    <mergeCell ref="B22:C22"/>
    <mergeCell ref="A24:D24"/>
    <mergeCell ref="A25:D25"/>
  </mergeCells>
  <printOptions horizontalCentered="1"/>
  <pageMargins left="0.31496062992125984" right="0.19685039370078741" top="0.19685039370078741" bottom="0.19685039370078741" header="0.15748031496062992" footer="0.1574803149606299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PCK</vt:lpstr>
      <vt:lpstr>INV</vt:lpstr>
      <vt:lpstr>Inv-Back</vt:lpstr>
      <vt:lpstr>VGMC </vt:lpstr>
      <vt:lpstr>CVR</vt:lpstr>
      <vt:lpstr>'VGMC '!OLE_LINK1</vt:lpstr>
      <vt:lpstr>CVR!Print_Area</vt:lpstr>
      <vt:lpstr>PCK!Print_Area</vt:lpstr>
      <vt:lpstr>'VGMC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2026-01-20T10:15:02Z</dcterms:modified>
</cp:coreProperties>
</file>