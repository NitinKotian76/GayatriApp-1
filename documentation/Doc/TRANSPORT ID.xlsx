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calcPr calcId="124519"/>
</workbook>
</file>

<file path=xl/calcChain.xml><?xml version="1.0" encoding="utf-8"?>
<calcChain xmlns="http://schemas.openxmlformats.org/spreadsheetml/2006/main">
  <c r="C17" i="2"/>
  <c r="L17"/>
  <c r="L19"/>
  <c r="M17"/>
  <c r="C18"/>
  <c r="C16"/>
  <c r="J12"/>
  <c r="I12"/>
  <c r="N11"/>
  <c r="M11"/>
  <c r="N10"/>
  <c r="M10"/>
  <c r="N9"/>
  <c r="M9"/>
  <c r="N8"/>
  <c r="M8"/>
  <c r="N7"/>
  <c r="M7"/>
  <c r="N6"/>
  <c r="M6"/>
  <c r="L12"/>
  <c r="N12" s="1"/>
  <c r="K12"/>
  <c r="M12" s="1"/>
  <c r="M5"/>
  <c r="N5"/>
  <c r="G11"/>
  <c r="F11"/>
  <c r="G10"/>
  <c r="F10"/>
  <c r="B12"/>
  <c r="C12"/>
  <c r="G6"/>
  <c r="G7"/>
  <c r="G8"/>
  <c r="G9"/>
  <c r="F6"/>
  <c r="F7"/>
  <c r="F8"/>
  <c r="F9"/>
  <c r="E5"/>
  <c r="E12" s="1"/>
  <c r="D5"/>
  <c r="D12" s="1"/>
  <c r="G5" l="1"/>
  <c r="F5"/>
  <c r="G12"/>
  <c r="F12"/>
</calcChain>
</file>

<file path=xl/sharedStrings.xml><?xml version="1.0" encoding="utf-8"?>
<sst xmlns="http://schemas.openxmlformats.org/spreadsheetml/2006/main" count="96" uniqueCount="75">
  <si>
    <t>GAYATRISHAKTI PAPER &amp; BOARDS LTD</t>
  </si>
  <si>
    <t>TRANSPORT ID TETALIS</t>
  </si>
  <si>
    <t>TRANSPORT NAME</t>
  </si>
  <si>
    <t>ID</t>
  </si>
  <si>
    <t>P G C LOGISTICS</t>
  </si>
  <si>
    <t>27AAECP6311J1ZE</t>
  </si>
  <si>
    <t>EXPRESS CARGO MOVERS</t>
  </si>
  <si>
    <t>24BQDPG8779A2ZV</t>
  </si>
  <si>
    <t>G H C</t>
  </si>
  <si>
    <t>24AAOPS8751J1Z0</t>
  </si>
  <si>
    <t>VAPI MANGLORE</t>
  </si>
  <si>
    <t>24ACOPV0717H1ZG</t>
  </si>
  <si>
    <t>GOLDEN INDIA</t>
  </si>
  <si>
    <t>24AGXPP8908P1Z7</t>
  </si>
  <si>
    <t>SHIVA GOODS</t>
  </si>
  <si>
    <t>24AACHP5225Q1ZV</t>
  </si>
  <si>
    <t>ARC TRANSPORT</t>
  </si>
  <si>
    <t>36AACCA4861C1Z0</t>
  </si>
  <si>
    <t>SRI SRINIVASA ROAD</t>
  </si>
  <si>
    <t>27AADFS3059A1ZI</t>
  </si>
  <si>
    <t>24AFTPG6916M2ZV</t>
  </si>
  <si>
    <t>JALARAM</t>
  </si>
  <si>
    <t>24AJUPP3082A1Z7</t>
  </si>
  <si>
    <t>BALKRISHNA</t>
  </si>
  <si>
    <t>24DZRPS7414B1Z6</t>
  </si>
  <si>
    <t>SHEOPARNA</t>
  </si>
  <si>
    <t>24BLNPS1015G1Z9</t>
  </si>
  <si>
    <t>HITCO</t>
  </si>
  <si>
    <t>36AAFFH5976B1ZC</t>
  </si>
  <si>
    <t>SHREE TRANSPORT</t>
  </si>
  <si>
    <t>OM SAI</t>
  </si>
  <si>
    <t>27AWHPK6662M1ZW</t>
  </si>
  <si>
    <t>VINDHYA CARGO MOVERS</t>
  </si>
  <si>
    <t>24AQPPG5944E1ZS</t>
  </si>
  <si>
    <t>SHREE NATH TRANSPORT</t>
  </si>
  <si>
    <t>27ABOPM3639E1ZG</t>
  </si>
  <si>
    <t>GUJARAT PUNJAB</t>
  </si>
  <si>
    <t>24BJLPS1166C1ZB</t>
  </si>
  <si>
    <t>ANKIT</t>
  </si>
  <si>
    <t>24ACKPB2455J1ZS</t>
  </si>
  <si>
    <t>A R C TRANSPORT</t>
  </si>
  <si>
    <t>SRI SRINIVASA ROADLINES</t>
  </si>
  <si>
    <t>SHANKAR LOGISTICS PVT LTD</t>
  </si>
  <si>
    <t>HARSH TRANSPORT</t>
  </si>
  <si>
    <t>24AQMPR1059A1Z2</t>
  </si>
  <si>
    <t>S K ROADLINES</t>
  </si>
  <si>
    <t>24AAWPA6791N1ZY</t>
  </si>
  <si>
    <t>TURANT LOGISTICS</t>
  </si>
  <si>
    <t>27AAECT9480C1Z5</t>
  </si>
  <si>
    <t>BRIGHT CARGO</t>
  </si>
  <si>
    <t>24AZBPS8551J1Z0</t>
  </si>
  <si>
    <t xml:space="preserve">SHEOPARNA </t>
  </si>
  <si>
    <t>MUMBAI SOUTHERN ROADWAYS PRIVATE LIMITED</t>
  </si>
  <si>
    <t>27AADCM6535A1ZR</t>
  </si>
  <si>
    <t>NARESH TRANSPORT</t>
  </si>
  <si>
    <t>27AKVPB2222L2ZO</t>
  </si>
  <si>
    <t>KARNI CARGO</t>
  </si>
  <si>
    <t>24AEXPR7260L1ZM</t>
  </si>
  <si>
    <t>R.C.I. HIGHWAYS</t>
  </si>
  <si>
    <t>24ADNPR6892D1Z3</t>
  </si>
  <si>
    <t>24AAACI5607C1Z5</t>
  </si>
  <si>
    <t>INLAND WORLD LOGISTICS P LTD</t>
  </si>
  <si>
    <t>VRL LOGISTICS</t>
  </si>
  <si>
    <t>29AABCV3609C1ZJ</t>
  </si>
  <si>
    <t>88AAJCS8693P1Z2</t>
  </si>
  <si>
    <t>SUN RISE</t>
  </si>
  <si>
    <t>24AAFCS1371Q1Z0</t>
  </si>
  <si>
    <t>CITRIX DESP.</t>
  </si>
  <si>
    <t>MILL SOFT DESP.</t>
  </si>
  <si>
    <t>BD</t>
  </si>
  <si>
    <t>QTY.</t>
  </si>
  <si>
    <t>DIFF.</t>
  </si>
  <si>
    <t>CITRIX Production</t>
  </si>
  <si>
    <t>Mill Soft Production</t>
  </si>
  <si>
    <t>Diff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</si>
</sst>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#,##0.0;[Red]#,##0.0"/>
    <numFmt numFmtId="166" formatCode="0;[Red]0"/>
  </numFmts>
  <fonts count="1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1"/>
      <name val="Cambria"/>
      <family val="1"/>
      <scheme val="maj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5"/>
      <color rgb="FFFF0000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/>
    <xf numFmtId="0" fontId="3" fillId="0" borderId="1" xfId="0" applyFont="1" applyFill="1" applyBorder="1" applyAlignment="1">
      <alignment vertical="center"/>
    </xf>
    <xf numFmtId="0" fontId="3" fillId="0" borderId="1" xfId="0" applyFont="1" applyBorder="1"/>
    <xf numFmtId="0" fontId="0" fillId="0" borderId="0" xfId="0"/>
    <xf numFmtId="0" fontId="0" fillId="0" borderId="0" xfId="0"/>
    <xf numFmtId="1" fontId="0" fillId="0" borderId="0" xfId="0" applyNumberFormat="1" applyBorder="1"/>
    <xf numFmtId="0" fontId="0" fillId="0" borderId="8" xfId="0" applyBorder="1"/>
    <xf numFmtId="0" fontId="0" fillId="0" borderId="9" xfId="0" applyBorder="1"/>
    <xf numFmtId="2" fontId="0" fillId="0" borderId="10" xfId="0" applyNumberFormat="1" applyBorder="1"/>
    <xf numFmtId="0" fontId="0" fillId="0" borderId="11" xfId="0" applyBorder="1"/>
    <xf numFmtId="0" fontId="0" fillId="0" borderId="7" xfId="0" applyBorder="1"/>
    <xf numFmtId="0" fontId="9" fillId="0" borderId="7" xfId="0" applyFont="1" applyBorder="1"/>
    <xf numFmtId="0" fontId="9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2" fontId="0" fillId="3" borderId="0" xfId="0" applyNumberFormat="1" applyFill="1" applyBorder="1"/>
    <xf numFmtId="1" fontId="0" fillId="3" borderId="8" xfId="0" applyNumberFormat="1" applyFill="1" applyBorder="1"/>
    <xf numFmtId="2" fontId="0" fillId="3" borderId="8" xfId="0" applyNumberFormat="1" applyFill="1" applyBorder="1"/>
    <xf numFmtId="164" fontId="0" fillId="3" borderId="8" xfId="0" applyNumberFormat="1" applyFill="1" applyBorder="1"/>
    <xf numFmtId="2" fontId="0" fillId="3" borderId="10" xfId="0" applyNumberFormat="1" applyFill="1" applyBorder="1"/>
    <xf numFmtId="164" fontId="0" fillId="3" borderId="11" xfId="0" applyNumberFormat="1" applyFill="1" applyBorder="1"/>
    <xf numFmtId="0" fontId="0" fillId="3" borderId="9" xfId="0" applyFill="1" applyBorder="1" applyAlignment="1">
      <alignment horizontal="center"/>
    </xf>
    <xf numFmtId="0" fontId="0" fillId="3" borderId="7" xfId="0" applyFill="1" applyBorder="1"/>
    <xf numFmtId="0" fontId="9" fillId="3" borderId="8" xfId="0" applyFont="1" applyFill="1" applyBorder="1"/>
    <xf numFmtId="0" fontId="0" fillId="3" borderId="9" xfId="0" applyFill="1" applyBorder="1"/>
    <xf numFmtId="0" fontId="9" fillId="3" borderId="11" xfId="0" applyFont="1" applyFill="1" applyBorder="1"/>
    <xf numFmtId="0" fontId="0" fillId="0" borderId="12" xfId="0" applyBorder="1"/>
    <xf numFmtId="0" fontId="0" fillId="0" borderId="13" xfId="0" applyBorder="1" applyAlignment="1">
      <alignment horizontal="center"/>
    </xf>
    <xf numFmtId="14" fontId="8" fillId="0" borderId="14" xfId="0" applyNumberFormat="1" applyFont="1" applyBorder="1"/>
    <xf numFmtId="0" fontId="8" fillId="0" borderId="13" xfId="0" applyFont="1" applyBorder="1"/>
    <xf numFmtId="164" fontId="0" fillId="4" borderId="0" xfId="0" applyNumberFormat="1" applyFill="1" applyBorder="1"/>
    <xf numFmtId="0" fontId="0" fillId="4" borderId="5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" fontId="0" fillId="4" borderId="0" xfId="0" applyNumberFormat="1" applyFill="1" applyBorder="1"/>
    <xf numFmtId="2" fontId="0" fillId="4" borderId="0" xfId="0" applyNumberFormat="1" applyFill="1" applyBorder="1"/>
    <xf numFmtId="164" fontId="0" fillId="4" borderId="10" xfId="0" applyNumberFormat="1" applyFill="1" applyBorder="1"/>
    <xf numFmtId="166" fontId="10" fillId="0" borderId="1" xfId="0" applyNumberFormat="1" applyFont="1" applyFill="1" applyBorder="1" applyAlignment="1">
      <alignment horizontal="center" vertical="center"/>
    </xf>
    <xf numFmtId="0" fontId="9" fillId="0" borderId="0" xfId="0" applyFont="1"/>
    <xf numFmtId="165" fontId="10" fillId="0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0" borderId="8" xfId="0" applyFill="1" applyBorder="1"/>
    <xf numFmtId="0" fontId="9" fillId="0" borderId="0" xfId="0" applyFont="1"/>
    <xf numFmtId="0" fontId="9" fillId="0" borderId="0" xfId="0" applyFont="1"/>
    <xf numFmtId="0" fontId="0" fillId="0" borderId="0" xfId="0"/>
    <xf numFmtId="0" fontId="9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opLeftCell="A31" workbookViewId="0">
      <selection activeCell="A47" sqref="A47"/>
    </sheetView>
  </sheetViews>
  <sheetFormatPr defaultRowHeight="15"/>
  <cols>
    <col min="1" max="1" width="34" customWidth="1"/>
    <col min="2" max="2" width="28" customWidth="1"/>
  </cols>
  <sheetData>
    <row r="1" spans="1:2" s="1" customFormat="1" ht="24.75" customHeight="1">
      <c r="A1" s="59" t="s">
        <v>0</v>
      </c>
      <c r="B1" s="60"/>
    </row>
    <row r="2" spans="1:2" s="1" customFormat="1" ht="11.25" customHeight="1">
      <c r="A2" s="2"/>
      <c r="B2" s="2"/>
    </row>
    <row r="3" spans="1:2" s="1" customFormat="1" ht="24.75" customHeight="1">
      <c r="A3" s="59" t="s">
        <v>1</v>
      </c>
      <c r="B3" s="60"/>
    </row>
    <row r="4" spans="1:2" s="1" customFormat="1" ht="7.5" customHeight="1">
      <c r="A4" s="2"/>
      <c r="B4" s="2"/>
    </row>
    <row r="5" spans="1:2" s="1" customFormat="1" ht="24.75" customHeight="1">
      <c r="A5" s="7" t="s">
        <v>2</v>
      </c>
      <c r="B5" s="8" t="s">
        <v>3</v>
      </c>
    </row>
    <row r="6" spans="1:2" s="1" customFormat="1" ht="18" customHeight="1">
      <c r="A6" s="3" t="s">
        <v>4</v>
      </c>
      <c r="B6" s="3" t="s">
        <v>5</v>
      </c>
    </row>
    <row r="7" spans="1:2" s="1" customFormat="1" ht="18" customHeight="1">
      <c r="A7" s="3" t="s">
        <v>6</v>
      </c>
      <c r="B7" s="3" t="s">
        <v>7</v>
      </c>
    </row>
    <row r="8" spans="1:2" s="1" customFormat="1" ht="18" customHeight="1">
      <c r="A8" s="3" t="s">
        <v>8</v>
      </c>
      <c r="B8" s="3" t="s">
        <v>9</v>
      </c>
    </row>
    <row r="9" spans="1:2" s="1" customFormat="1" ht="18" customHeight="1">
      <c r="A9" s="3" t="s">
        <v>10</v>
      </c>
      <c r="B9" s="3" t="s">
        <v>11</v>
      </c>
    </row>
    <row r="10" spans="1:2" s="1" customFormat="1" ht="18" customHeight="1">
      <c r="A10" s="3" t="s">
        <v>12</v>
      </c>
      <c r="B10" s="3" t="s">
        <v>13</v>
      </c>
    </row>
    <row r="11" spans="1:2" s="1" customFormat="1" ht="18" customHeight="1">
      <c r="A11" s="3" t="s">
        <v>14</v>
      </c>
      <c r="B11" s="3" t="s">
        <v>15</v>
      </c>
    </row>
    <row r="12" spans="1:2" s="1" customFormat="1" ht="18" customHeight="1">
      <c r="A12" s="3" t="s">
        <v>16</v>
      </c>
      <c r="B12" s="3" t="s">
        <v>17</v>
      </c>
    </row>
    <row r="13" spans="1:2" s="1" customFormat="1" ht="18" customHeight="1">
      <c r="A13" s="3" t="s">
        <v>18</v>
      </c>
      <c r="B13" s="3" t="s">
        <v>19</v>
      </c>
    </row>
    <row r="14" spans="1:2" s="1" customFormat="1" ht="18" customHeight="1">
      <c r="A14" s="3" t="s">
        <v>29</v>
      </c>
      <c r="B14" s="3" t="s">
        <v>20</v>
      </c>
    </row>
    <row r="15" spans="1:2" s="9" customFormat="1" ht="18" customHeight="1">
      <c r="A15" s="3" t="s">
        <v>21</v>
      </c>
      <c r="B15" s="3" t="s">
        <v>22</v>
      </c>
    </row>
    <row r="16" spans="1:2" s="9" customFormat="1" ht="18" customHeight="1">
      <c r="A16" s="3" t="s">
        <v>23</v>
      </c>
      <c r="B16" s="3" t="s">
        <v>24</v>
      </c>
    </row>
    <row r="17" spans="1:2" s="9" customFormat="1" ht="18" customHeight="1">
      <c r="A17" s="3" t="s">
        <v>25</v>
      </c>
      <c r="B17" s="3" t="s">
        <v>26</v>
      </c>
    </row>
    <row r="18" spans="1:2" s="9" customFormat="1" ht="18" customHeight="1">
      <c r="A18" s="3" t="s">
        <v>30</v>
      </c>
      <c r="B18" s="3" t="s">
        <v>31</v>
      </c>
    </row>
    <row r="19" spans="1:2" s="9" customFormat="1" ht="18" customHeight="1">
      <c r="A19" s="3" t="s">
        <v>27</v>
      </c>
      <c r="B19" s="3" t="s">
        <v>28</v>
      </c>
    </row>
    <row r="20" spans="1:2" s="9" customFormat="1" ht="18" customHeight="1">
      <c r="A20" s="3" t="s">
        <v>32</v>
      </c>
      <c r="B20" s="3" t="s">
        <v>33</v>
      </c>
    </row>
    <row r="21" spans="1:2" s="9" customFormat="1" ht="18" customHeight="1">
      <c r="A21" s="3" t="s">
        <v>34</v>
      </c>
      <c r="B21" s="3" t="s">
        <v>35</v>
      </c>
    </row>
    <row r="22" spans="1:2" s="9" customFormat="1" ht="18" customHeight="1">
      <c r="A22" s="3" t="s">
        <v>36</v>
      </c>
      <c r="B22" s="3" t="s">
        <v>37</v>
      </c>
    </row>
    <row r="23" spans="1:2" s="9" customFormat="1" ht="18" customHeight="1">
      <c r="A23" s="3" t="s">
        <v>38</v>
      </c>
      <c r="B23" s="3" t="s">
        <v>39</v>
      </c>
    </row>
    <row r="24" spans="1:2" s="9" customFormat="1" ht="18" customHeight="1">
      <c r="A24" s="3" t="s">
        <v>54</v>
      </c>
      <c r="B24" s="3" t="s">
        <v>55</v>
      </c>
    </row>
    <row r="25" spans="1:2" s="9" customFormat="1" ht="18" customHeight="1">
      <c r="A25" s="3" t="s">
        <v>61</v>
      </c>
      <c r="B25" s="3" t="s">
        <v>60</v>
      </c>
    </row>
    <row r="26" spans="1:2" s="9" customFormat="1" ht="18" customHeight="1">
      <c r="A26" s="6" t="s">
        <v>2</v>
      </c>
      <c r="B26" s="6" t="s">
        <v>3</v>
      </c>
    </row>
    <row r="27" spans="1:2" s="9" customFormat="1" ht="18" customHeight="1">
      <c r="A27" s="5" t="s">
        <v>14</v>
      </c>
      <c r="B27" s="5" t="s">
        <v>15</v>
      </c>
    </row>
    <row r="28" spans="1:2" s="9" customFormat="1" ht="18" customHeight="1">
      <c r="A28" s="4" t="s">
        <v>40</v>
      </c>
      <c r="B28" s="4" t="s">
        <v>17</v>
      </c>
    </row>
    <row r="29" spans="1:2" s="9" customFormat="1" ht="18" customHeight="1">
      <c r="A29" s="4" t="s">
        <v>41</v>
      </c>
      <c r="B29" s="4" t="s">
        <v>19</v>
      </c>
    </row>
    <row r="30" spans="1:2" s="9" customFormat="1" ht="18" customHeight="1">
      <c r="A30" s="4" t="s">
        <v>29</v>
      </c>
      <c r="B30" s="4" t="s">
        <v>20</v>
      </c>
    </row>
    <row r="31" spans="1:2" s="9" customFormat="1" ht="18" customHeight="1">
      <c r="A31" s="4" t="s">
        <v>36</v>
      </c>
      <c r="B31" s="4" t="s">
        <v>37</v>
      </c>
    </row>
    <row r="32" spans="1:2" s="9" customFormat="1" ht="18" customHeight="1">
      <c r="A32" s="4" t="s">
        <v>42</v>
      </c>
      <c r="B32" s="4" t="s">
        <v>64</v>
      </c>
    </row>
    <row r="33" spans="1:2" s="9" customFormat="1" ht="18" customHeight="1">
      <c r="A33" s="4" t="s">
        <v>43</v>
      </c>
      <c r="B33" s="4" t="s">
        <v>44</v>
      </c>
    </row>
    <row r="34" spans="1:2" s="9" customFormat="1" ht="18" customHeight="1">
      <c r="A34" s="4" t="s">
        <v>45</v>
      </c>
      <c r="B34" s="4" t="s">
        <v>46</v>
      </c>
    </row>
    <row r="35" spans="1:2" s="9" customFormat="1" ht="18" customHeight="1">
      <c r="A35" s="4" t="s">
        <v>47</v>
      </c>
      <c r="B35" s="4" t="s">
        <v>48</v>
      </c>
    </row>
    <row r="36" spans="1:2" s="9" customFormat="1" ht="18" customHeight="1">
      <c r="A36" s="4" t="s">
        <v>49</v>
      </c>
      <c r="B36" s="4" t="s">
        <v>50</v>
      </c>
    </row>
    <row r="37" spans="1:2" s="9" customFormat="1" ht="18" customHeight="1">
      <c r="A37" s="4" t="s">
        <v>51</v>
      </c>
      <c r="B37" s="4" t="s">
        <v>26</v>
      </c>
    </row>
    <row r="38" spans="1:2" s="9" customFormat="1" ht="18" customHeight="1">
      <c r="A38" s="4" t="s">
        <v>34</v>
      </c>
      <c r="B38" s="4" t="s">
        <v>35</v>
      </c>
    </row>
    <row r="39" spans="1:2" s="9" customFormat="1" ht="18" customHeight="1">
      <c r="A39" s="10" t="s">
        <v>52</v>
      </c>
      <c r="B39" s="4" t="s">
        <v>53</v>
      </c>
    </row>
    <row r="40" spans="1:2" ht="15.75">
      <c r="A40" s="11" t="s">
        <v>56</v>
      </c>
      <c r="B40" s="11" t="s">
        <v>57</v>
      </c>
    </row>
    <row r="41" spans="1:2" ht="18.75">
      <c r="A41" s="4" t="s">
        <v>58</v>
      </c>
      <c r="B41" s="4" t="s">
        <v>59</v>
      </c>
    </row>
    <row r="42" spans="1:2" ht="18.75">
      <c r="A42" s="12" t="s">
        <v>62</v>
      </c>
      <c r="B42" s="13" t="s">
        <v>63</v>
      </c>
    </row>
    <row r="43" spans="1:2" ht="18.75">
      <c r="A43" s="12" t="s">
        <v>65</v>
      </c>
      <c r="B43" s="13" t="s">
        <v>66</v>
      </c>
    </row>
  </sheetData>
  <mergeCells count="2">
    <mergeCell ref="A1:B1"/>
    <mergeCell ref="A3:B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N25"/>
  <sheetViews>
    <sheetView tabSelected="1" workbookViewId="0">
      <selection activeCell="B18" sqref="B18"/>
    </sheetView>
  </sheetViews>
  <sheetFormatPr defaultRowHeight="15"/>
  <cols>
    <col min="1" max="1" width="10.7109375" bestFit="1" customWidth="1"/>
    <col min="2" max="2" width="10.7109375" customWidth="1"/>
    <col min="3" max="4" width="14" customWidth="1"/>
    <col min="5" max="5" width="16.85546875" customWidth="1"/>
    <col min="7" max="7" width="11.5703125" bestFit="1" customWidth="1"/>
    <col min="8" max="8" width="1" style="15" customWidth="1"/>
    <col min="9" max="10" width="14" customWidth="1"/>
    <col min="11" max="12" width="14" style="14" customWidth="1"/>
    <col min="13" max="13" width="11.5703125" style="14" customWidth="1"/>
    <col min="14" max="14" width="13.140625" customWidth="1"/>
  </cols>
  <sheetData>
    <row r="2" spans="1:14" ht="15.75" thickBot="1"/>
    <row r="3" spans="1:14">
      <c r="A3" s="40"/>
      <c r="B3" s="61" t="s">
        <v>67</v>
      </c>
      <c r="C3" s="62"/>
      <c r="D3" s="63" t="s">
        <v>68</v>
      </c>
      <c r="E3" s="62"/>
      <c r="F3" s="64" t="s">
        <v>71</v>
      </c>
      <c r="G3" s="65"/>
      <c r="H3" s="45"/>
      <c r="I3" s="63" t="s">
        <v>72</v>
      </c>
      <c r="J3" s="62"/>
      <c r="K3" s="63" t="s">
        <v>73</v>
      </c>
      <c r="L3" s="62"/>
      <c r="M3" s="66" t="s">
        <v>74</v>
      </c>
      <c r="N3" s="65"/>
    </row>
    <row r="4" spans="1:14" ht="15.75" thickBot="1">
      <c r="A4" s="41"/>
      <c r="B4" s="25" t="s">
        <v>69</v>
      </c>
      <c r="C4" s="26" t="s">
        <v>70</v>
      </c>
      <c r="D4" s="24" t="s">
        <v>69</v>
      </c>
      <c r="E4" s="26" t="s">
        <v>70</v>
      </c>
      <c r="F4" s="27" t="s">
        <v>69</v>
      </c>
      <c r="G4" s="28" t="s">
        <v>70</v>
      </c>
      <c r="H4" s="46"/>
      <c r="I4" s="24" t="s">
        <v>69</v>
      </c>
      <c r="J4" s="26" t="s">
        <v>70</v>
      </c>
      <c r="K4" s="24" t="s">
        <v>69</v>
      </c>
      <c r="L4" s="26" t="s">
        <v>70</v>
      </c>
      <c r="M4" s="35"/>
      <c r="N4" s="28"/>
    </row>
    <row r="5" spans="1:14">
      <c r="A5" s="42">
        <v>43598</v>
      </c>
      <c r="B5" s="16">
        <v>2001</v>
      </c>
      <c r="C5" s="17">
        <v>322836.8</v>
      </c>
      <c r="D5" s="21">
        <f>1714+287</f>
        <v>2001</v>
      </c>
      <c r="E5" s="17">
        <f>137359.8+185477</f>
        <v>322836.8</v>
      </c>
      <c r="F5" s="29">
        <f t="shared" ref="F5:G12" si="0">+D5-B5</f>
        <v>0</v>
      </c>
      <c r="G5" s="30">
        <f t="shared" si="0"/>
        <v>0</v>
      </c>
      <c r="H5" s="47"/>
      <c r="I5" s="21">
        <v>1355</v>
      </c>
      <c r="J5" s="17">
        <v>217028.8</v>
      </c>
      <c r="K5" s="22">
        <v>1355</v>
      </c>
      <c r="L5" s="23">
        <v>217028.80000000002</v>
      </c>
      <c r="M5" s="36">
        <f>I5-K5</f>
        <v>0</v>
      </c>
      <c r="N5" s="37">
        <f>J5-L5</f>
        <v>0</v>
      </c>
    </row>
    <row r="6" spans="1:14">
      <c r="A6" s="42">
        <v>43599</v>
      </c>
      <c r="B6" s="16">
        <v>2354</v>
      </c>
      <c r="C6" s="17">
        <v>227908.9</v>
      </c>
      <c r="D6" s="21">
        <v>2354</v>
      </c>
      <c r="E6" s="17">
        <v>227907.20000000001</v>
      </c>
      <c r="F6" s="29">
        <f t="shared" si="0"/>
        <v>0</v>
      </c>
      <c r="G6" s="31">
        <f t="shared" si="0"/>
        <v>-1.6999999999825377</v>
      </c>
      <c r="H6" s="48"/>
      <c r="I6" s="21">
        <v>1997</v>
      </c>
      <c r="J6" s="17">
        <v>256946</v>
      </c>
      <c r="K6" s="22">
        <v>1997</v>
      </c>
      <c r="L6" s="23">
        <v>256946</v>
      </c>
      <c r="M6" s="36">
        <f t="shared" ref="M6:M12" si="1">I6-K6</f>
        <v>0</v>
      </c>
      <c r="N6" s="37">
        <f t="shared" ref="N6:N12" si="2">J6-L6</f>
        <v>0</v>
      </c>
    </row>
    <row r="7" spans="1:14">
      <c r="A7" s="42">
        <v>43600</v>
      </c>
      <c r="B7" s="16">
        <v>3307</v>
      </c>
      <c r="C7" s="17">
        <v>330230</v>
      </c>
      <c r="D7" s="21">
        <v>3307</v>
      </c>
      <c r="E7" s="17">
        <v>330171.8</v>
      </c>
      <c r="F7" s="29">
        <f t="shared" si="0"/>
        <v>0</v>
      </c>
      <c r="G7" s="31">
        <f t="shared" si="0"/>
        <v>-58.200000000011642</v>
      </c>
      <c r="H7" s="48"/>
      <c r="I7" s="21">
        <v>2545</v>
      </c>
      <c r="J7" s="17">
        <v>278174.3</v>
      </c>
      <c r="K7" s="22">
        <v>2545</v>
      </c>
      <c r="L7" s="23">
        <v>278174.3</v>
      </c>
      <c r="M7" s="36">
        <f t="shared" si="1"/>
        <v>0</v>
      </c>
      <c r="N7" s="37">
        <f t="shared" si="2"/>
        <v>0</v>
      </c>
    </row>
    <row r="8" spans="1:14">
      <c r="A8" s="42">
        <v>43601</v>
      </c>
      <c r="B8" s="16">
        <v>1191</v>
      </c>
      <c r="C8" s="17">
        <v>136511.6</v>
      </c>
      <c r="D8" s="21">
        <v>1191</v>
      </c>
      <c r="E8" s="17">
        <v>136511.6</v>
      </c>
      <c r="F8" s="29">
        <f t="shared" si="0"/>
        <v>0</v>
      </c>
      <c r="G8" s="30">
        <f t="shared" si="0"/>
        <v>0</v>
      </c>
      <c r="H8" s="47"/>
      <c r="I8" s="21">
        <v>2784</v>
      </c>
      <c r="J8" s="17">
        <v>286719.5</v>
      </c>
      <c r="K8" s="22">
        <v>2784</v>
      </c>
      <c r="L8" s="23">
        <v>286719.5</v>
      </c>
      <c r="M8" s="36">
        <f t="shared" si="1"/>
        <v>0</v>
      </c>
      <c r="N8" s="37">
        <f t="shared" si="2"/>
        <v>0</v>
      </c>
    </row>
    <row r="9" spans="1:14">
      <c r="A9" s="42">
        <v>43602</v>
      </c>
      <c r="B9" s="16">
        <v>3023</v>
      </c>
      <c r="C9" s="17">
        <v>247051.6</v>
      </c>
      <c r="D9" s="21">
        <v>3023</v>
      </c>
      <c r="E9" s="17">
        <v>247051.8</v>
      </c>
      <c r="F9" s="29">
        <f t="shared" si="0"/>
        <v>0</v>
      </c>
      <c r="G9" s="30">
        <f t="shared" si="0"/>
        <v>0.1999999999825377</v>
      </c>
      <c r="H9" s="47"/>
      <c r="I9" s="21">
        <v>3228</v>
      </c>
      <c r="J9" s="17">
        <v>285151.59999999998</v>
      </c>
      <c r="K9" s="22">
        <v>3228</v>
      </c>
      <c r="L9" s="23">
        <v>285151.60000000003</v>
      </c>
      <c r="M9" s="36">
        <f t="shared" si="1"/>
        <v>0</v>
      </c>
      <c r="N9" s="37">
        <f t="shared" si="2"/>
        <v>0</v>
      </c>
    </row>
    <row r="10" spans="1:14">
      <c r="A10" s="42">
        <v>43603</v>
      </c>
      <c r="B10" s="16">
        <v>1855</v>
      </c>
      <c r="C10" s="17">
        <v>185674.4</v>
      </c>
      <c r="D10" s="21">
        <v>1855</v>
      </c>
      <c r="E10" s="17">
        <v>185675.3</v>
      </c>
      <c r="F10" s="29">
        <f t="shared" si="0"/>
        <v>0</v>
      </c>
      <c r="G10" s="32">
        <f t="shared" si="0"/>
        <v>0.89999999999417923</v>
      </c>
      <c r="H10" s="44"/>
      <c r="I10" s="21">
        <v>3029</v>
      </c>
      <c r="J10" s="17">
        <v>298538.8</v>
      </c>
      <c r="K10" s="22">
        <v>3029</v>
      </c>
      <c r="L10" s="23">
        <v>298538.8</v>
      </c>
      <c r="M10" s="36">
        <f t="shared" si="1"/>
        <v>0</v>
      </c>
      <c r="N10" s="37">
        <f t="shared" si="2"/>
        <v>0</v>
      </c>
    </row>
    <row r="11" spans="1:14">
      <c r="A11" s="42">
        <v>43604</v>
      </c>
      <c r="B11" s="16">
        <v>2103</v>
      </c>
      <c r="C11" s="17">
        <v>131524.9</v>
      </c>
      <c r="D11" s="21">
        <v>2103</v>
      </c>
      <c r="E11" s="17">
        <v>131524.9</v>
      </c>
      <c r="F11" s="29">
        <f t="shared" si="0"/>
        <v>0</v>
      </c>
      <c r="G11" s="30">
        <f t="shared" si="0"/>
        <v>0</v>
      </c>
      <c r="H11" s="47"/>
      <c r="I11" s="21">
        <v>2540</v>
      </c>
      <c r="J11" s="17">
        <v>248684.6</v>
      </c>
      <c r="K11" s="22">
        <v>2540</v>
      </c>
      <c r="L11" s="23">
        <v>248684.6</v>
      </c>
      <c r="M11" s="36">
        <f t="shared" si="1"/>
        <v>0</v>
      </c>
      <c r="N11" s="37">
        <f t="shared" si="2"/>
        <v>0</v>
      </c>
    </row>
    <row r="12" spans="1:14" ht="15.75" thickBot="1">
      <c r="A12" s="43"/>
      <c r="B12" s="19">
        <f>SUM(B5:B11)</f>
        <v>15834</v>
      </c>
      <c r="C12" s="20">
        <f>SUM(C5:C11)</f>
        <v>1581738.1999999997</v>
      </c>
      <c r="D12" s="18">
        <f>SUM(D5:D11)</f>
        <v>15834</v>
      </c>
      <c r="E12" s="20">
        <f>SUM(E5:E11)</f>
        <v>1581679.4</v>
      </c>
      <c r="F12" s="33">
        <f t="shared" si="0"/>
        <v>0</v>
      </c>
      <c r="G12" s="34">
        <f t="shared" si="0"/>
        <v>-58.799999999813735</v>
      </c>
      <c r="H12" s="49"/>
      <c r="I12" s="38">
        <f>SUM(I5:I11)</f>
        <v>17478</v>
      </c>
      <c r="J12" s="20">
        <f>SUM(J5:J11)</f>
        <v>1871243.6</v>
      </c>
      <c r="K12" s="18">
        <f>SUM(K5:K11)</f>
        <v>17478</v>
      </c>
      <c r="L12" s="20">
        <f>SUM(L5:L11)</f>
        <v>1871243.6000000003</v>
      </c>
      <c r="M12" s="38">
        <f t="shared" si="1"/>
        <v>0</v>
      </c>
      <c r="N12" s="39">
        <f t="shared" si="2"/>
        <v>0</v>
      </c>
    </row>
    <row r="13" spans="1:14">
      <c r="E13" s="54"/>
    </row>
    <row r="14" spans="1:14">
      <c r="M14" s="51"/>
    </row>
    <row r="15" spans="1:14">
      <c r="B15">
        <v>404013</v>
      </c>
      <c r="L15" s="14">
        <v>13579</v>
      </c>
      <c r="M15" s="14">
        <v>1076845.6000000001</v>
      </c>
    </row>
    <row r="16" spans="1:14">
      <c r="A16" s="50">
        <v>11935</v>
      </c>
      <c r="B16" s="52">
        <v>787340.20000000019</v>
      </c>
      <c r="C16" s="53">
        <f>B16+J12-C12</f>
        <v>1076845.6000000006</v>
      </c>
      <c r="L16" s="58">
        <v>13721</v>
      </c>
      <c r="M16" s="57">
        <v>1085352</v>
      </c>
    </row>
    <row r="17" spans="1:14">
      <c r="A17" s="56">
        <v>11935</v>
      </c>
      <c r="B17" s="55">
        <v>787135.4</v>
      </c>
      <c r="C17">
        <f>B17+L12-E12</f>
        <v>1076699.6000000006</v>
      </c>
      <c r="L17" s="14">
        <f>L16-L15</f>
        <v>142</v>
      </c>
      <c r="M17" s="57">
        <f>M16-M15</f>
        <v>8506.3999999999069</v>
      </c>
    </row>
    <row r="18" spans="1:14">
      <c r="B18" s="67"/>
      <c r="C18" s="53">
        <f>C16-C17</f>
        <v>146</v>
      </c>
    </row>
    <row r="19" spans="1:14">
      <c r="L19" s="14">
        <f>8506/142</f>
        <v>59.901408450704224</v>
      </c>
    </row>
    <row r="21" spans="1:14">
      <c r="B21" s="53"/>
    </row>
    <row r="25" spans="1:14">
      <c r="N25">
        <v>85209</v>
      </c>
    </row>
  </sheetData>
  <mergeCells count="6">
    <mergeCell ref="M3:N3"/>
    <mergeCell ref="B3:C3"/>
    <mergeCell ref="D3:E3"/>
    <mergeCell ref="F3:G3"/>
    <mergeCell ref="I3:J3"/>
    <mergeCell ref="K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2019-05-21T13:45:34Z</dcterms:modified>
</cp:coreProperties>
</file>